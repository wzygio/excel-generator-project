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users\v0064722\Desktop\"/>
    </mc:Choice>
  </mc:AlternateContent>
  <bookViews>
    <workbookView xWindow="-120" yWindow="-120" windowWidth="20730" windowHeight="11160"/>
  </bookViews>
  <sheets>
    <sheet name="风险品释放管控表" sheetId="13" r:id="rId1"/>
    <sheet name="产品类型" sheetId="14" r:id="rId2"/>
    <sheet name="风险品释放管控表-M06" sheetId="10" state="hidden" r:id="rId3"/>
  </sheets>
  <definedNames>
    <definedName name="_xlnm._FilterDatabase" localSheetId="0" hidden="1">风险品释放管控表!$A$1:$AS$49</definedName>
    <definedName name="_xlnm._FilterDatabase" localSheetId="2" hidden="1">'风险品释放管控表-M06'!$A$1:$K$15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15" i="13" l="1"/>
  <c r="AJ3" i="13"/>
  <c r="AJ10" i="13"/>
  <c r="AJ14" i="13"/>
  <c r="AJ15" i="13"/>
  <c r="AJ11" i="13"/>
  <c r="AJ8" i="13"/>
  <c r="AJ5" i="13"/>
  <c r="AJ6" i="13"/>
  <c r="AJ9" i="13"/>
  <c r="AJ4" i="13"/>
  <c r="AJ17" i="13"/>
  <c r="AJ21" i="13"/>
  <c r="AJ19" i="13"/>
  <c r="AJ22" i="13"/>
  <c r="AJ18" i="13"/>
  <c r="AJ23" i="13"/>
  <c r="AJ26" i="13"/>
  <c r="AJ25" i="13"/>
  <c r="AH2" i="13"/>
  <c r="AC10" i="13"/>
  <c r="AC14" i="13"/>
  <c r="AC11" i="13"/>
  <c r="AC8" i="13"/>
  <c r="AC5" i="13"/>
  <c r="AC6" i="13"/>
  <c r="AC9" i="13"/>
  <c r="AC4" i="13"/>
  <c r="AC16" i="13"/>
  <c r="AC17" i="13"/>
  <c r="AC20" i="13"/>
  <c r="AC21" i="13"/>
  <c r="AC19" i="13"/>
  <c r="AC22" i="13"/>
  <c r="AC18" i="13"/>
  <c r="AC23" i="13"/>
  <c r="AC26" i="13"/>
  <c r="AC25" i="13"/>
  <c r="AC3" i="13"/>
  <c r="AK3" i="13" s="1"/>
  <c r="AF2" i="13"/>
  <c r="AK15" i="13" l="1"/>
  <c r="AK23" i="13"/>
  <c r="AK26" i="13"/>
  <c r="AK6" i="13"/>
  <c r="AK5" i="13"/>
  <c r="AK21" i="13"/>
  <c r="AK25" i="13"/>
  <c r="AK10" i="13"/>
  <c r="AK19" i="13"/>
  <c r="AK18" i="13"/>
  <c r="AK11" i="13"/>
  <c r="AK8" i="13"/>
  <c r="AK17" i="13"/>
  <c r="AK14" i="13"/>
  <c r="AK22" i="13"/>
  <c r="AK4" i="13"/>
  <c r="AK9" i="13"/>
  <c r="AS10" i="13"/>
  <c r="AS14" i="13"/>
  <c r="AS15" i="13"/>
  <c r="AS11" i="13"/>
  <c r="AS8" i="13"/>
  <c r="AS5" i="13"/>
  <c r="AS9" i="13"/>
  <c r="AS4" i="13"/>
  <c r="AS16" i="13"/>
  <c r="AS17" i="13"/>
  <c r="AS20" i="13"/>
  <c r="AS21" i="13"/>
  <c r="AS19" i="13"/>
  <c r="AS22" i="13"/>
  <c r="AS18" i="13"/>
  <c r="AS23" i="13"/>
  <c r="AS26" i="13"/>
  <c r="AS25" i="13"/>
  <c r="AD2" i="13" l="1"/>
  <c r="AJ2" i="13" l="1"/>
  <c r="AK2" i="13"/>
  <c r="AC2" i="13"/>
  <c r="AS3" i="13" l="1"/>
  <c r="E2" i="10" l="1"/>
  <c r="D3" i="10"/>
  <c r="E3" i="10" s="1"/>
  <c r="D4" i="10"/>
  <c r="E4" i="10" s="1"/>
  <c r="D5" i="10"/>
  <c r="E5" i="10" s="1"/>
  <c r="D6" i="10"/>
  <c r="E6" i="10" s="1"/>
  <c r="D7" i="10"/>
  <c r="E7" i="10" s="1"/>
  <c r="D8" i="10"/>
  <c r="E8" i="10" s="1"/>
  <c r="D9" i="10"/>
  <c r="E9" i="10" s="1"/>
  <c r="D10" i="10"/>
  <c r="E10" i="10" s="1"/>
  <c r="D11" i="10"/>
  <c r="E11" i="10" s="1"/>
  <c r="D12" i="10"/>
  <c r="E12" i="10" s="1"/>
  <c r="D13" i="10"/>
  <c r="E13" i="10" s="1"/>
  <c r="D14" i="10"/>
  <c r="E14" i="10" s="1"/>
  <c r="D15" i="10"/>
  <c r="E15" i="10" s="1"/>
  <c r="I18" i="10"/>
  <c r="I20" i="10" s="1"/>
  <c r="J18" i="10"/>
  <c r="J20" i="10" s="1"/>
</calcChain>
</file>

<file path=xl/sharedStrings.xml><?xml version="1.0" encoding="utf-8"?>
<sst xmlns="http://schemas.openxmlformats.org/spreadsheetml/2006/main" count="446" uniqueCount="293">
  <si>
    <t>M08</t>
  </si>
  <si>
    <t>M09</t>
  </si>
  <si>
    <t>M11</t>
  </si>
  <si>
    <t>M12</t>
  </si>
  <si>
    <t>M01</t>
  </si>
  <si>
    <t>ARRAY</t>
  </si>
  <si>
    <t>OLED</t>
  </si>
  <si>
    <t>M02</t>
  </si>
  <si>
    <t>M03</t>
  </si>
  <si>
    <t>C453</t>
  </si>
  <si>
    <t>C452</t>
  </si>
  <si>
    <t>M04</t>
  </si>
  <si>
    <t>M680</t>
  </si>
  <si>
    <t>M05</t>
  </si>
  <si>
    <t>TP</t>
  </si>
  <si>
    <t>C451</t>
  </si>
  <si>
    <t>OFMCD 彩带Mura</t>
  </si>
  <si>
    <t>M06</t>
  </si>
  <si>
    <t>贡献后M06良率</t>
    <phoneticPr fontId="5" type="noConversion"/>
  </si>
  <si>
    <t>当前M06良率</t>
    <phoneticPr fontId="5" type="noConversion"/>
  </si>
  <si>
    <t>可贡献M06良率</t>
    <phoneticPr fontId="5" type="noConversion"/>
  </si>
  <si>
    <t>毛绍宝</t>
    <phoneticPr fontId="3" type="noConversion"/>
  </si>
  <si>
    <t>/</t>
    <phoneticPr fontId="5" type="noConversion"/>
  </si>
  <si>
    <t>Demura专修无优化空间，降等处理</t>
    <phoneticPr fontId="5" type="noConversion"/>
  </si>
  <si>
    <t>色不均拦截</t>
    <phoneticPr fontId="5" type="noConversion"/>
  </si>
  <si>
    <t>Array</t>
    <phoneticPr fontId="5" type="noConversion"/>
  </si>
  <si>
    <t>M530</t>
    <phoneticPr fontId="5" type="noConversion"/>
  </si>
  <si>
    <t>黄式强</t>
    <phoneticPr fontId="5" type="noConversion"/>
  </si>
  <si>
    <t>项目遗留，无法挽救降等处理</t>
    <phoneticPr fontId="5" type="noConversion"/>
  </si>
  <si>
    <t>E5 NG拦截</t>
    <phoneticPr fontId="5" type="noConversion"/>
  </si>
  <si>
    <t>C22</t>
    <phoneticPr fontId="5" type="noConversion"/>
  </si>
  <si>
    <t>陈政</t>
    <phoneticPr fontId="5" type="noConversion"/>
  </si>
  <si>
    <t>/</t>
    <phoneticPr fontId="5" type="noConversion"/>
  </si>
  <si>
    <t>5/26模组产出，6/15 RA/光学产出，6/18 PCCB评审</t>
    <phoneticPr fontId="5" type="noConversion"/>
  </si>
  <si>
    <t>OLED硅烷二元化</t>
    <phoneticPr fontId="5" type="noConversion"/>
  </si>
  <si>
    <t>张若男</t>
    <phoneticPr fontId="5" type="noConversion"/>
  </si>
  <si>
    <t>预计6/20屏体产出，6/28模组良率产出，7/8模组RA产出评审</t>
    <phoneticPr fontId="5" type="noConversion"/>
  </si>
  <si>
    <t>Vth正偏</t>
    <phoneticPr fontId="5" type="noConversion"/>
  </si>
  <si>
    <t>C37</t>
    <phoneticPr fontId="5" type="noConversion"/>
  </si>
  <si>
    <t>5/26模组产出，6/15 RA/光学产出，6/18 PCCB评审</t>
    <phoneticPr fontId="5" type="noConversion"/>
  </si>
  <si>
    <t>OLED硅烷二元化</t>
    <phoneticPr fontId="5" type="noConversion"/>
  </si>
  <si>
    <t>郭席胜</t>
    <phoneticPr fontId="5" type="noConversion"/>
  </si>
  <si>
    <t>TP硅烷二元化</t>
    <phoneticPr fontId="5" type="noConversion"/>
  </si>
  <si>
    <t>蒋超</t>
    <phoneticPr fontId="3" type="noConversion"/>
  </si>
  <si>
    <t>需PMC提供返工资源</t>
    <phoneticPr fontId="5" type="noConversion"/>
  </si>
  <si>
    <r>
      <t>屏体限样模组良率验证结果6/8产出，</t>
    </r>
    <r>
      <rPr>
        <sz val="10"/>
        <color rgb="FF0000FF"/>
        <rFont val="微软雅黑"/>
        <family val="2"/>
        <charset val="134"/>
      </rPr>
      <t>需</t>
    </r>
    <r>
      <rPr>
        <b/>
        <sz val="10"/>
        <color rgb="FF0000FF"/>
        <rFont val="微软雅黑"/>
        <family val="2"/>
        <charset val="134"/>
      </rPr>
      <t>6/15完成MVI返工</t>
    </r>
    <phoneticPr fontId="5" type="noConversion"/>
  </si>
  <si>
    <t>S向彩带拦截</t>
    <phoneticPr fontId="5" type="noConversion"/>
  </si>
  <si>
    <t>OLED</t>
    <phoneticPr fontId="5" type="noConversion"/>
  </si>
  <si>
    <t>C451</t>
    <phoneticPr fontId="5" type="noConversion"/>
  </si>
  <si>
    <t>朱声建</t>
    <phoneticPr fontId="5" type="noConversion"/>
  </si>
  <si>
    <t xml:space="preserve">6/16-6/20 模组投入，6/24-6/30模组产出，7/4-7/14 RA光学测试，7/16 评审； </t>
    <phoneticPr fontId="5" type="noConversion"/>
  </si>
  <si>
    <t>ARRAY硅烷二元化</t>
    <phoneticPr fontId="5" type="noConversion"/>
  </si>
  <si>
    <t>M680</t>
    <phoneticPr fontId="5" type="noConversion"/>
  </si>
  <si>
    <t>郭席胜</t>
    <phoneticPr fontId="5" type="noConversion"/>
  </si>
  <si>
    <t>TP硅烷二元化</t>
    <phoneticPr fontId="5" type="noConversion"/>
  </si>
  <si>
    <t>廖鹏</t>
    <phoneticPr fontId="5" type="noConversion"/>
  </si>
  <si>
    <r>
      <t>5/27评审模组K级良率无异常释放，预计6/15产出结果释放，</t>
    </r>
    <r>
      <rPr>
        <b/>
        <sz val="10"/>
        <color rgb="FF0000FF"/>
        <rFont val="微软雅黑"/>
        <family val="2"/>
        <charset val="134"/>
      </rPr>
      <t>需6/25完成AVI返工拦截亮点</t>
    </r>
    <phoneticPr fontId="5" type="noConversion"/>
  </si>
  <si>
    <t>VTH负偏</t>
    <phoneticPr fontId="5" type="noConversion"/>
  </si>
  <si>
    <t>可贡献M05良率（截止6/30）</t>
    <phoneticPr fontId="5" type="noConversion"/>
  </si>
  <si>
    <t>可贡献M06良率（截止6/15）</t>
    <phoneticPr fontId="5" type="noConversion"/>
  </si>
  <si>
    <t>负责人</t>
    <phoneticPr fontId="5" type="noConversion"/>
  </si>
  <si>
    <t>资源诉求</t>
    <phoneticPr fontId="5" type="noConversion"/>
  </si>
  <si>
    <t>处理计划</t>
    <phoneticPr fontId="5" type="noConversion"/>
  </si>
  <si>
    <t>M06加权良率影响</t>
    <phoneticPr fontId="5" type="noConversion"/>
  </si>
  <si>
    <t>M06风险品数量</t>
    <phoneticPr fontId="5" type="noConversion"/>
  </si>
  <si>
    <t>风险</t>
    <phoneticPr fontId="5" type="noConversion"/>
  </si>
  <si>
    <t>厂别</t>
    <phoneticPr fontId="5" type="noConversion"/>
  </si>
  <si>
    <t>产品</t>
    <phoneticPr fontId="5" type="noConversion"/>
  </si>
  <si>
    <t>工厂</t>
    <phoneticPr fontId="3" type="noConversion"/>
  </si>
  <si>
    <t>风险</t>
    <phoneticPr fontId="5" type="noConversion"/>
  </si>
  <si>
    <t>总数</t>
    <phoneticPr fontId="5" type="noConversion"/>
  </si>
  <si>
    <t>释放计划</t>
    <phoneticPr fontId="5" type="noConversion"/>
  </si>
  <si>
    <t>责任人</t>
    <phoneticPr fontId="5" type="noConversion"/>
  </si>
  <si>
    <t>完成时间</t>
    <phoneticPr fontId="5" type="noConversion"/>
  </si>
  <si>
    <t>周</t>
    <phoneticPr fontId="5" type="noConversion"/>
  </si>
  <si>
    <t xml:space="preserve"> </t>
    <phoneticPr fontId="5" type="noConversion"/>
  </si>
  <si>
    <t>M07</t>
  </si>
  <si>
    <t>OLED</t>
    <phoneticPr fontId="5" type="noConversion"/>
  </si>
  <si>
    <t>GDS1</t>
    <phoneticPr fontId="5" type="noConversion"/>
  </si>
  <si>
    <t>王飞</t>
    <phoneticPr fontId="5" type="noConversion"/>
  </si>
  <si>
    <t>C471</t>
  </si>
  <si>
    <t>品类</t>
    <phoneticPr fontId="5" type="noConversion"/>
  </si>
  <si>
    <t>LTPO</t>
    <phoneticPr fontId="5" type="noConversion"/>
  </si>
  <si>
    <t>C516</t>
    <phoneticPr fontId="5" type="noConversion"/>
  </si>
  <si>
    <t>M10</t>
    <phoneticPr fontId="5" type="noConversion"/>
  </si>
  <si>
    <t>预计完成时间</t>
    <phoneticPr fontId="5" type="noConversion"/>
  </si>
  <si>
    <t>OLED</t>
    <phoneticPr fontId="5" type="noConversion"/>
  </si>
  <si>
    <t>型号</t>
    <phoneticPr fontId="5" type="noConversion"/>
  </si>
  <si>
    <t>类型</t>
    <phoneticPr fontId="5" type="noConversion"/>
  </si>
  <si>
    <t>C10</t>
    <phoneticPr fontId="5" type="noConversion"/>
  </si>
  <si>
    <t>LTPS</t>
    <phoneticPr fontId="5" type="noConversion"/>
  </si>
  <si>
    <t>D22</t>
    <phoneticPr fontId="5" type="noConversion"/>
  </si>
  <si>
    <t>D23</t>
    <phoneticPr fontId="5" type="noConversion"/>
  </si>
  <si>
    <t>D26</t>
    <phoneticPr fontId="5" type="noConversion"/>
  </si>
  <si>
    <t>F1</t>
    <phoneticPr fontId="5" type="noConversion"/>
  </si>
  <si>
    <t>M110</t>
    <phoneticPr fontId="5" type="noConversion"/>
  </si>
  <si>
    <t>M146</t>
    <phoneticPr fontId="5" type="noConversion"/>
  </si>
  <si>
    <t>M182</t>
    <phoneticPr fontId="5" type="noConversion"/>
  </si>
  <si>
    <t>M215</t>
    <phoneticPr fontId="5" type="noConversion"/>
  </si>
  <si>
    <t>M279</t>
    <phoneticPr fontId="5" type="noConversion"/>
  </si>
  <si>
    <t>M516</t>
    <phoneticPr fontId="5" type="noConversion"/>
  </si>
  <si>
    <t>M567</t>
    <phoneticPr fontId="5" type="noConversion"/>
  </si>
  <si>
    <t>M596</t>
    <phoneticPr fontId="5" type="noConversion"/>
  </si>
  <si>
    <t>M655</t>
    <phoneticPr fontId="5" type="noConversion"/>
  </si>
  <si>
    <t>M660</t>
    <phoneticPr fontId="5" type="noConversion"/>
  </si>
  <si>
    <t>M680</t>
    <phoneticPr fontId="5" type="noConversion"/>
  </si>
  <si>
    <t>M701</t>
    <phoneticPr fontId="5" type="noConversion"/>
  </si>
  <si>
    <t>C11</t>
    <phoneticPr fontId="5" type="noConversion"/>
  </si>
  <si>
    <t>LTPO</t>
    <phoneticPr fontId="5" type="noConversion"/>
  </si>
  <si>
    <t>C16</t>
    <phoneticPr fontId="5" type="noConversion"/>
  </si>
  <si>
    <t>C19</t>
    <phoneticPr fontId="5" type="noConversion"/>
  </si>
  <si>
    <t>C20</t>
    <phoneticPr fontId="5" type="noConversion"/>
  </si>
  <si>
    <t>C22</t>
    <phoneticPr fontId="5" type="noConversion"/>
  </si>
  <si>
    <t>C35</t>
    <phoneticPr fontId="5" type="noConversion"/>
  </si>
  <si>
    <t>C37</t>
    <phoneticPr fontId="5" type="noConversion"/>
  </si>
  <si>
    <t>C451</t>
    <phoneticPr fontId="5" type="noConversion"/>
  </si>
  <si>
    <t>C452</t>
    <phoneticPr fontId="5" type="noConversion"/>
  </si>
  <si>
    <t>C453</t>
    <phoneticPr fontId="5" type="noConversion"/>
  </si>
  <si>
    <t>C50</t>
    <phoneticPr fontId="5" type="noConversion"/>
  </si>
  <si>
    <t>C51</t>
    <phoneticPr fontId="5" type="noConversion"/>
  </si>
  <si>
    <t>C55</t>
    <phoneticPr fontId="5" type="noConversion"/>
  </si>
  <si>
    <t>C57</t>
    <phoneticPr fontId="5" type="noConversion"/>
  </si>
  <si>
    <t>C59</t>
    <phoneticPr fontId="5" type="noConversion"/>
  </si>
  <si>
    <t>D106</t>
    <phoneticPr fontId="5" type="noConversion"/>
  </si>
  <si>
    <t>D107</t>
    <phoneticPr fontId="5" type="noConversion"/>
  </si>
  <si>
    <t>D136</t>
    <phoneticPr fontId="5" type="noConversion"/>
  </si>
  <si>
    <t>D137</t>
    <phoneticPr fontId="5" type="noConversion"/>
  </si>
  <si>
    <t>D17</t>
    <phoneticPr fontId="5" type="noConversion"/>
  </si>
  <si>
    <t>D171</t>
    <phoneticPr fontId="5" type="noConversion"/>
  </si>
  <si>
    <t>D172</t>
    <phoneticPr fontId="5" type="noConversion"/>
  </si>
  <si>
    <t>D21</t>
    <phoneticPr fontId="5" type="noConversion"/>
  </si>
  <si>
    <t>M256</t>
    <phoneticPr fontId="5" type="noConversion"/>
  </si>
  <si>
    <t>M2A7</t>
    <phoneticPr fontId="5" type="noConversion"/>
  </si>
  <si>
    <t>M511</t>
    <phoneticPr fontId="5" type="noConversion"/>
  </si>
  <si>
    <t>M530</t>
    <phoneticPr fontId="5" type="noConversion"/>
  </si>
  <si>
    <t>M559</t>
    <phoneticPr fontId="5" type="noConversion"/>
  </si>
  <si>
    <t>M698</t>
    <phoneticPr fontId="5" type="noConversion"/>
  </si>
  <si>
    <t>M702</t>
    <phoneticPr fontId="5" type="noConversion"/>
  </si>
  <si>
    <t>M75</t>
    <phoneticPr fontId="5" type="noConversion"/>
  </si>
  <si>
    <t>C15</t>
    <phoneticPr fontId="5" type="noConversion"/>
  </si>
  <si>
    <t>折叠</t>
    <phoneticPr fontId="5" type="noConversion"/>
  </si>
  <si>
    <t>C39</t>
    <phoneticPr fontId="5" type="noConversion"/>
  </si>
  <si>
    <t>C471</t>
    <phoneticPr fontId="5" type="noConversion"/>
  </si>
  <si>
    <t>D12</t>
    <phoneticPr fontId="5" type="noConversion"/>
  </si>
  <si>
    <t>D127</t>
    <phoneticPr fontId="5" type="noConversion"/>
  </si>
  <si>
    <t>D24</t>
    <phoneticPr fontId="5" type="noConversion"/>
  </si>
  <si>
    <t>D36</t>
    <phoneticPr fontId="5" type="noConversion"/>
  </si>
  <si>
    <t>D50</t>
    <phoneticPr fontId="5" type="noConversion"/>
  </si>
  <si>
    <t>C466</t>
    <phoneticPr fontId="5" type="noConversion"/>
  </si>
  <si>
    <t>中尺寸</t>
    <phoneticPr fontId="5" type="noConversion"/>
  </si>
  <si>
    <t>N236</t>
    <phoneticPr fontId="5" type="noConversion"/>
  </si>
  <si>
    <t>T219</t>
    <phoneticPr fontId="5" type="noConversion"/>
  </si>
  <si>
    <t>V100</t>
    <phoneticPr fontId="5" type="noConversion"/>
  </si>
  <si>
    <t>W378</t>
    <phoneticPr fontId="5" type="noConversion"/>
  </si>
  <si>
    <t>穿戴</t>
    <phoneticPr fontId="5" type="noConversion"/>
  </si>
  <si>
    <t>产品</t>
    <phoneticPr fontId="5" type="noConversion"/>
  </si>
  <si>
    <t>王欢</t>
    <phoneticPr fontId="5" type="noConversion"/>
  </si>
  <si>
    <t>陆长礼</t>
    <phoneticPr fontId="3" type="noConversion"/>
  </si>
  <si>
    <t>王飞</t>
    <phoneticPr fontId="5" type="noConversion"/>
  </si>
  <si>
    <t>黄家琦</t>
    <phoneticPr fontId="5" type="noConversion"/>
  </si>
  <si>
    <t>王洪亚</t>
    <phoneticPr fontId="5" type="noConversion"/>
  </si>
  <si>
    <t>M678</t>
    <phoneticPr fontId="5" type="noConversion"/>
  </si>
  <si>
    <t>屏体</t>
    <phoneticPr fontId="5" type="noConversion"/>
  </si>
  <si>
    <t>关江兵</t>
  </si>
  <si>
    <t>OFYDU DeltaU</t>
    <phoneticPr fontId="5" type="noConversion"/>
  </si>
  <si>
    <t>安如意</t>
  </si>
  <si>
    <t>C516</t>
    <phoneticPr fontId="5" type="noConversion"/>
  </si>
  <si>
    <t>C39</t>
    <phoneticPr fontId="5" type="noConversion"/>
  </si>
  <si>
    <t>OLED</t>
    <phoneticPr fontId="5" type="noConversion"/>
  </si>
  <si>
    <t>王欢</t>
    <phoneticPr fontId="5" type="noConversion"/>
  </si>
  <si>
    <t>C480</t>
    <phoneticPr fontId="5" type="noConversion"/>
  </si>
  <si>
    <t>ARRAY</t>
    <phoneticPr fontId="5" type="noConversion"/>
  </si>
  <si>
    <t>FPVTF VTH偏负</t>
    <phoneticPr fontId="5" type="noConversion"/>
  </si>
  <si>
    <t>M693</t>
    <phoneticPr fontId="5" type="noConversion"/>
  </si>
  <si>
    <t>ARRAY</t>
    <phoneticPr fontId="5" type="noConversion"/>
  </si>
  <si>
    <t xml:space="preserve">FSSPC  SPC划伤 </t>
    <phoneticPr fontId="5" type="noConversion"/>
  </si>
  <si>
    <t>OFAPL APL色点</t>
    <phoneticPr fontId="5" type="noConversion"/>
  </si>
  <si>
    <t>OFYGD1 GDS1风险</t>
    <phoneticPr fontId="5" type="noConversion"/>
  </si>
  <si>
    <t xml:space="preserve"> </t>
    <phoneticPr fontId="5" type="noConversion"/>
  </si>
  <si>
    <t>M631</t>
    <phoneticPr fontId="5" type="noConversion"/>
  </si>
  <si>
    <t>ARRAY</t>
    <phoneticPr fontId="5" type="noConversion"/>
  </si>
  <si>
    <t>陆长礼</t>
    <phoneticPr fontId="3" type="noConversion"/>
  </si>
  <si>
    <t>是否Delay</t>
    <phoneticPr fontId="5" type="noConversion"/>
  </si>
  <si>
    <t>否</t>
    <phoneticPr fontId="5" type="noConversion"/>
  </si>
  <si>
    <t>陆长礼</t>
    <phoneticPr fontId="3" type="noConversion"/>
  </si>
  <si>
    <t>LTPS</t>
    <phoneticPr fontId="5" type="noConversion"/>
  </si>
  <si>
    <t>TP</t>
    <phoneticPr fontId="5" type="noConversion"/>
  </si>
  <si>
    <t>张浩</t>
  </si>
  <si>
    <t>孙克安</t>
  </si>
  <si>
    <t>黄毅</t>
  </si>
  <si>
    <t>张卫帅</t>
  </si>
  <si>
    <t>乔恩琳</t>
  </si>
  <si>
    <t>主管</t>
    <phoneticPr fontId="5" type="noConversion"/>
  </si>
  <si>
    <t>总监</t>
    <phoneticPr fontId="5" type="noConversion"/>
  </si>
  <si>
    <t>M01</t>
    <phoneticPr fontId="5" type="noConversion"/>
  </si>
  <si>
    <t xml:space="preserve"> FYGX 光学风险</t>
    <phoneticPr fontId="5" type="noConversion"/>
  </si>
  <si>
    <t xml:space="preserve">FSPD Pin端划伤 </t>
    <phoneticPr fontId="5" type="noConversion"/>
  </si>
  <si>
    <t>C50</t>
    <phoneticPr fontId="5" type="noConversion"/>
  </si>
  <si>
    <t xml:space="preserve">OLED </t>
    <phoneticPr fontId="5" type="noConversion"/>
  </si>
  <si>
    <t>OFYESD ESD风险</t>
    <phoneticPr fontId="5" type="noConversion"/>
  </si>
  <si>
    <t>FGCK 侧刻风险- 
3APP11 VCD真空压力</t>
    <phoneticPr fontId="5" type="noConversion"/>
  </si>
  <si>
    <t>折叠</t>
    <phoneticPr fontId="5" type="noConversion"/>
  </si>
  <si>
    <t>TP</t>
    <phoneticPr fontId="5" type="noConversion"/>
  </si>
  <si>
    <t>TFYOC TPOC制程异常</t>
    <phoneticPr fontId="5" type="noConversion"/>
  </si>
  <si>
    <t>黄硕</t>
    <phoneticPr fontId="5" type="noConversion"/>
  </si>
  <si>
    <t>TP</t>
    <phoneticPr fontId="5" type="noConversion"/>
  </si>
  <si>
    <t>M279</t>
    <phoneticPr fontId="5" type="noConversion"/>
  </si>
  <si>
    <t>C521</t>
    <phoneticPr fontId="5" type="noConversion"/>
  </si>
  <si>
    <t>TP</t>
    <phoneticPr fontId="5" type="noConversion"/>
  </si>
  <si>
    <t>M626</t>
    <phoneticPr fontId="5" type="noConversion"/>
  </si>
  <si>
    <t>TP</t>
    <phoneticPr fontId="5" type="noConversion"/>
  </si>
  <si>
    <t>C480</t>
    <phoneticPr fontId="5" type="noConversion"/>
  </si>
  <si>
    <t>TP</t>
    <phoneticPr fontId="5" type="noConversion"/>
  </si>
  <si>
    <t>M656</t>
    <phoneticPr fontId="5" type="noConversion"/>
  </si>
  <si>
    <t>TP</t>
    <phoneticPr fontId="5" type="noConversion"/>
  </si>
  <si>
    <t>C516</t>
    <phoneticPr fontId="5" type="noConversion"/>
  </si>
  <si>
    <t>M678</t>
    <phoneticPr fontId="5" type="noConversion"/>
  </si>
  <si>
    <t>同C521/C516/M279/M656共同评审</t>
    <phoneticPr fontId="5" type="noConversion"/>
  </si>
  <si>
    <t>M02</t>
    <phoneticPr fontId="5" type="noConversion"/>
  </si>
  <si>
    <t>C516</t>
    <phoneticPr fontId="5" type="noConversion"/>
  </si>
  <si>
    <t>ARRAY</t>
    <phoneticPr fontId="5" type="noConversion"/>
  </si>
  <si>
    <t>张卫帅</t>
    <phoneticPr fontId="5" type="noConversion"/>
  </si>
  <si>
    <t>秦广为</t>
    <phoneticPr fontId="5" type="noConversion"/>
  </si>
  <si>
    <t>蒋超</t>
    <phoneticPr fontId="3" type="noConversion"/>
  </si>
  <si>
    <t>张莉莉</t>
    <phoneticPr fontId="5" type="noConversion"/>
  </si>
  <si>
    <t>刘智勇</t>
    <phoneticPr fontId="5" type="noConversion"/>
  </si>
  <si>
    <t>吴忧</t>
    <phoneticPr fontId="5" type="noConversion"/>
  </si>
  <si>
    <t>黄硕</t>
    <phoneticPr fontId="5" type="noConversion"/>
  </si>
  <si>
    <t>杜开尧</t>
    <phoneticPr fontId="5" type="noConversion"/>
  </si>
  <si>
    <t>胡庆元</t>
    <phoneticPr fontId="5" type="noConversion"/>
  </si>
  <si>
    <t>陈来全</t>
    <phoneticPr fontId="5" type="noConversion"/>
  </si>
  <si>
    <t>王洁</t>
    <phoneticPr fontId="5" type="noConversion"/>
  </si>
  <si>
    <t>宋建华</t>
    <phoneticPr fontId="5" type="noConversion"/>
  </si>
  <si>
    <t>汪舒帆</t>
    <phoneticPr fontId="5" type="noConversion"/>
  </si>
  <si>
    <t>颜衡</t>
    <phoneticPr fontId="5" type="noConversion"/>
  </si>
  <si>
    <t>黄硕</t>
    <phoneticPr fontId="5" type="noConversion"/>
  </si>
  <si>
    <t>李徐</t>
    <phoneticPr fontId="5" type="noConversion"/>
  </si>
  <si>
    <t>吕子明</t>
    <phoneticPr fontId="5" type="noConversion"/>
  </si>
  <si>
    <t>秦悦</t>
    <phoneticPr fontId="5" type="noConversion"/>
  </si>
  <si>
    <t>FMSBJ 色不均</t>
    <phoneticPr fontId="5" type="noConversion"/>
  </si>
  <si>
    <t>M03</t>
    <phoneticPr fontId="5" type="noConversion"/>
  </si>
  <si>
    <t>D172</t>
    <phoneticPr fontId="5" type="noConversion"/>
  </si>
  <si>
    <t>2/7产出可靠性OK，光学5pcsNG（30pcs）（属于光敏客诉蒸镀批次）</t>
    <phoneticPr fontId="5" type="noConversion"/>
  </si>
  <si>
    <t>同C521/C516/M279/M656共同评审</t>
    <phoneticPr fontId="5" type="noConversion"/>
  </si>
  <si>
    <t>M693</t>
    <phoneticPr fontId="5" type="noConversion"/>
  </si>
  <si>
    <t>TFYOC TPOC制程异常</t>
    <phoneticPr fontId="5" type="noConversion"/>
  </si>
  <si>
    <t>C480</t>
    <phoneticPr fontId="5" type="noConversion"/>
  </si>
  <si>
    <t>OLED</t>
    <phoneticPr fontId="5" type="noConversion"/>
  </si>
  <si>
    <t>OFYEYH 硅烷二元化验证</t>
    <phoneticPr fontId="5" type="noConversion"/>
  </si>
  <si>
    <t>李俊</t>
    <phoneticPr fontId="5" type="noConversion"/>
  </si>
  <si>
    <t>赵锁义</t>
    <phoneticPr fontId="5" type="noConversion"/>
  </si>
  <si>
    <t>C471</t>
    <phoneticPr fontId="5" type="noConversion"/>
  </si>
  <si>
    <t>OLED</t>
    <phoneticPr fontId="5" type="noConversion"/>
  </si>
  <si>
    <t>C480</t>
    <phoneticPr fontId="5" type="noConversion"/>
  </si>
  <si>
    <t>TP</t>
    <phoneticPr fontId="5" type="noConversion"/>
  </si>
  <si>
    <t>TFYEYH 硅烷二元化验证</t>
    <phoneticPr fontId="5" type="noConversion"/>
  </si>
  <si>
    <t>吴泽阳</t>
    <phoneticPr fontId="5" type="noConversion"/>
  </si>
  <si>
    <t>郭席胜</t>
    <phoneticPr fontId="5" type="noConversion"/>
  </si>
  <si>
    <t>C471</t>
    <phoneticPr fontId="5" type="noConversion"/>
  </si>
  <si>
    <t>TP</t>
    <phoneticPr fontId="5" type="noConversion"/>
  </si>
  <si>
    <t>TFYEYH 硅烷二元化验证</t>
    <phoneticPr fontId="5" type="noConversion"/>
  </si>
  <si>
    <t>3/7投入，3/19 产出RA结果，3/20评审</t>
    <phoneticPr fontId="5" type="noConversion"/>
  </si>
  <si>
    <t>2AU0/2EB0：2/25拉会评审M4单管投入，3/11模组C451投入，3/17产出结果</t>
    <phoneticPr fontId="5" type="noConversion"/>
  </si>
  <si>
    <t>4月初转仓至3F01出货模组（渠道）</t>
    <phoneticPr fontId="5" type="noConversion"/>
  </si>
  <si>
    <t>3/9提交返工sort</t>
    <phoneticPr fontId="5" type="noConversion"/>
  </si>
  <si>
    <t>静置两月</t>
    <phoneticPr fontId="5" type="noConversion"/>
  </si>
  <si>
    <t>模组背面漏光产出3/8，3/18拉通客户规格扩宽</t>
    <phoneticPr fontId="5" type="noConversion"/>
  </si>
  <si>
    <t>C522</t>
    <phoneticPr fontId="5" type="noConversion"/>
  </si>
  <si>
    <t>ARRAY</t>
    <phoneticPr fontId="5" type="noConversion"/>
  </si>
  <si>
    <t>孙乐蕴</t>
    <phoneticPr fontId="5" type="noConversion"/>
  </si>
  <si>
    <t>胡庆元</t>
    <phoneticPr fontId="5" type="noConversion"/>
  </si>
  <si>
    <t>3/12提交返工sort</t>
    <phoneticPr fontId="5" type="noConversion"/>
  </si>
  <si>
    <r>
      <t>终端验证3/15，</t>
    </r>
    <r>
      <rPr>
        <sz val="11"/>
        <color rgb="FF0000FF"/>
        <rFont val="宋体"/>
        <family val="3"/>
        <charset val="134"/>
        <scheme val="minor"/>
      </rPr>
      <t>3/18科室级评审</t>
    </r>
    <r>
      <rPr>
        <sz val="11"/>
        <color theme="1"/>
        <rFont val="宋体"/>
        <family val="2"/>
        <scheme val="minor"/>
      </rPr>
      <t>，3/20部门级评审</t>
    </r>
    <phoneticPr fontId="5" type="noConversion"/>
  </si>
  <si>
    <t>赵晓宇</t>
    <phoneticPr fontId="5" type="noConversion"/>
  </si>
  <si>
    <t>M626</t>
    <phoneticPr fontId="5" type="noConversion"/>
  </si>
  <si>
    <t>AFYEYH 硅烷二元化验证</t>
    <phoneticPr fontId="5" type="noConversion"/>
  </si>
  <si>
    <t>任胜杰</t>
    <phoneticPr fontId="5" type="noConversion"/>
  </si>
  <si>
    <t>朱声建</t>
    <phoneticPr fontId="5" type="noConversion"/>
  </si>
  <si>
    <t>2/26回货，2/26投入RA 120H(撕膜做OC），3/18产出评审</t>
    <phoneticPr fontId="5" type="noConversion"/>
  </si>
  <si>
    <t>3/18产出评审</t>
    <phoneticPr fontId="5" type="noConversion"/>
  </si>
  <si>
    <t>和C516共同评审(撕膜做OC），3/18产出评审</t>
    <phoneticPr fontId="5" type="noConversion"/>
  </si>
  <si>
    <t>同C521/C516/M279/M656共同评审</t>
    <phoneticPr fontId="5" type="noConversion"/>
  </si>
  <si>
    <r>
      <t>2/25投入RA 120H(撕膜做OC），</t>
    </r>
    <r>
      <rPr>
        <sz val="10"/>
        <color rgb="FF0000FF"/>
        <rFont val="微软雅黑"/>
        <family val="2"/>
        <charset val="134"/>
      </rPr>
      <t>3/18产出评审</t>
    </r>
    <phoneticPr fontId="5" type="noConversion"/>
  </si>
  <si>
    <t>模组库存22K进展：缺少AJU治具，采用Demura治具转AJU治具，当前设备对标中，初步3/27产出结果。</t>
    <phoneticPr fontId="5" type="noConversion"/>
  </si>
  <si>
    <t>改善前（3AES01号机过货）：3/11完成返工发货,3/25产出模组结果
改善后（IGZO显影验证/3AES08号机过货）：3/11完成返工发货,3/25产出模组结果</t>
    <phoneticPr fontId="5" type="noConversion"/>
  </si>
  <si>
    <t>3/21屏体产出，3/25模组投入，4/5模组产出，4/20模组投入RA，4/30产出RA，4/25投入光学，5/1光学产出，5/5评审</t>
    <phoneticPr fontId="5" type="noConversion"/>
  </si>
  <si>
    <t>4/3模组发货，4/10模组投入,4/17产出,4/22RA投入,5/25RA产出（800H)，6/3评审释放</t>
    <phoneticPr fontId="5" type="noConversion"/>
  </si>
  <si>
    <t>3/21屏体产出，3/25模组投入，4/5模组产出，4/20模组投入RA，4/30产出RA，4/25投入光学，5/1光学产出，5/5评审</t>
    <phoneticPr fontId="5" type="noConversion"/>
  </si>
  <si>
    <t>4/3模组发货，4/10模组投入,4/17产出,4/22RA投入,5/25RA产出（800H)，6/3评审释放</t>
    <phoneticPr fontId="5" type="noConversion"/>
  </si>
  <si>
    <t>4/2屏体入库，4/5发货模组，4/8模组投入，4/15模组产出，4/18 RA投入，4/28 RA产出，5/20 TECN评审</t>
    <phoneticPr fontId="5" type="noConversion"/>
  </si>
  <si>
    <t>查家舵</t>
    <phoneticPr fontId="5" type="noConversion"/>
  </si>
  <si>
    <t>3/9投RA，3/19产出可靠性结果，3/20风险评审</t>
    <phoneticPr fontId="5" type="noConversion"/>
  </si>
  <si>
    <r>
      <t>①Demura专修程序两套代码已完成，挽救率66%，</t>
    </r>
    <r>
      <rPr>
        <sz val="10"/>
        <color rgb="FF0000FF"/>
        <rFont val="微软雅黑"/>
        <family val="2"/>
        <charset val="134"/>
      </rPr>
      <t>3/19完成优化</t>
    </r>
    <r>
      <rPr>
        <sz val="10"/>
        <color theme="1"/>
        <rFont val="微软雅黑"/>
        <family val="2"/>
        <charset val="134"/>
      </rPr>
      <t xml:space="preserve">
②C522新实物限度样（1nitL127同程度OK~2.3）已签核完成，</t>
    </r>
    <r>
      <rPr>
        <sz val="10"/>
        <color rgb="FF0000FF"/>
        <rFont val="微软雅黑"/>
        <family val="2"/>
        <charset val="134"/>
      </rPr>
      <t>装备门限已
合入3/16，后续跟进良率结果</t>
    </r>
    <r>
      <rPr>
        <sz val="10"/>
        <color theme="1"/>
        <rFont val="微软雅黑"/>
        <family val="2"/>
        <charset val="134"/>
      </rPr>
      <t xml:space="preserve">
③色不均模位拦截：3/20产出VLRR释放</t>
    </r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</si>
</sst>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76" formatCode="#0.000%"/>
    <numFmt numFmtId="177" formatCode="0.000%"/>
    <numFmt numFmtId="178" formatCode="yyyy/m/d\ h:mm;@"/>
    <numFmt numFmtId="179" formatCode="0_);[Red]\(0\)"/>
    <numFmt numFmtId="180" formatCode="#0.00%"/>
    <numFmt numFmtId="181" formatCode="0_ "/>
    <numFmt numFmtId="182" formatCode="yyyy/m/d;@"/>
  </numFmts>
  <fonts count="24">
    <font>
      <sz val="11"/>
      <color theme="1"/>
      <name val="宋体"/>
      <family val="2"/>
      <scheme val="minor"/>
    </font>
    <font>
      <sz val="11"/>
      <color indexed="8"/>
      <name val="宋体"/>
      <family val="2"/>
      <charset val="1"/>
      <scheme val="minor"/>
    </font>
    <font>
      <sz val="10"/>
      <color rgb="FFFFFFFF"/>
      <name val="微软雅黑"/>
      <family val="2"/>
      <charset val="134"/>
    </font>
    <font>
      <sz val="9"/>
      <name val="宋体"/>
      <family val="2"/>
      <charset val="134"/>
      <scheme val="minor"/>
    </font>
    <font>
      <b/>
      <sz val="10"/>
      <color rgb="FFFFFFFF"/>
      <name val="微软雅黑"/>
      <family val="2"/>
      <charset val="134"/>
    </font>
    <font>
      <sz val="9"/>
      <name val="宋体"/>
      <family val="3"/>
      <charset val="134"/>
      <scheme val="minor"/>
    </font>
    <font>
      <b/>
      <sz val="10"/>
      <name val="微软雅黑"/>
      <family val="2"/>
      <charset val="134"/>
    </font>
    <font>
      <sz val="10"/>
      <color indexed="8"/>
      <name val="微软雅黑"/>
      <family val="2"/>
      <charset val="134"/>
    </font>
    <font>
      <sz val="10"/>
      <color rgb="FFFF0000"/>
      <name val="微软雅黑"/>
      <family val="2"/>
      <charset val="134"/>
    </font>
    <font>
      <sz val="10"/>
      <color theme="1" tint="4.9989318521683403E-2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name val="微软雅黑"/>
      <family val="2"/>
      <charset val="134"/>
    </font>
    <font>
      <sz val="10"/>
      <color rgb="FF0000FF"/>
      <name val="微软雅黑"/>
      <family val="2"/>
      <charset val="134"/>
    </font>
    <font>
      <sz val="11"/>
      <color theme="1"/>
      <name val="宋体"/>
      <family val="2"/>
      <scheme val="minor"/>
    </font>
    <font>
      <b/>
      <sz val="11"/>
      <color rgb="FF0000FF"/>
      <name val="微软雅黑"/>
      <family val="2"/>
      <charset val="134"/>
    </font>
    <font>
      <sz val="10"/>
      <color indexed="8"/>
      <name val="宋体"/>
      <family val="2"/>
      <charset val="1"/>
      <scheme val="minor"/>
    </font>
    <font>
      <sz val="10"/>
      <color theme="1" tint="4.9989318521683403E-2"/>
      <name val="宋体"/>
      <family val="2"/>
      <charset val="1"/>
      <scheme val="minor"/>
    </font>
    <font>
      <sz val="9"/>
      <name val="微软雅黑"/>
      <family val="2"/>
      <charset val="134"/>
    </font>
    <font>
      <sz val="11"/>
      <color indexed="8"/>
      <name val="微软雅黑"/>
      <family val="2"/>
      <charset val="134"/>
    </font>
    <font>
      <b/>
      <sz val="11"/>
      <color indexed="8"/>
      <name val="微软雅黑"/>
      <family val="2"/>
      <charset val="134"/>
    </font>
    <font>
      <b/>
      <sz val="10"/>
      <color rgb="FF0000FF"/>
      <name val="微软雅黑"/>
      <family val="2"/>
      <charset val="134"/>
    </font>
    <font>
      <b/>
      <sz val="10"/>
      <color theme="1" tint="4.9989318521683403E-2"/>
      <name val="微软雅黑"/>
      <family val="2"/>
      <charset val="134"/>
    </font>
    <font>
      <sz val="10"/>
      <color theme="0"/>
      <name val="微软雅黑"/>
      <family val="2"/>
      <charset val="134"/>
    </font>
    <font>
      <sz val="11"/>
      <color rgb="FF0000FF"/>
      <name val="宋体"/>
      <family val="3"/>
      <charset val="134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5C93B0"/>
        <bgColor rgb="FF5C93B0"/>
      </patternFill>
    </fill>
    <fill>
      <patternFill patternType="solid">
        <fgColor rgb="FF00CCFF"/>
        <bgColor rgb="FF00CCFF"/>
      </patternFill>
    </fill>
    <fill>
      <patternFill patternType="solid">
        <fgColor rgb="FF99CCFF"/>
        <bgColor rgb="FF99CCFF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/>
      <diagonal/>
    </border>
    <border>
      <left/>
      <right style="thin">
        <color auto="1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/>
      <diagonal/>
    </border>
  </borders>
  <cellStyleXfs count="6">
    <xf numFmtId="0" fontId="0" fillId="0" borderId="0"/>
    <xf numFmtId="0" fontId="1" fillId="0" borderId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104">
    <xf numFmtId="0" fontId="0" fillId="0" borderId="0" xfId="0"/>
    <xf numFmtId="0" fontId="1" fillId="0" borderId="0" xfId="1">
      <alignment vertical="center"/>
    </xf>
    <xf numFmtId="0" fontId="9" fillId="0" borderId="2" xfId="1" applyFont="1" applyBorder="1" applyAlignment="1">
      <alignment horizontal="center" vertical="center"/>
    </xf>
    <xf numFmtId="0" fontId="9" fillId="0" borderId="2" xfId="1" applyFont="1" applyBorder="1" applyAlignment="1">
      <alignment horizontal="left" vertical="center" wrapText="1"/>
    </xf>
    <xf numFmtId="0" fontId="9" fillId="0" borderId="2" xfId="1" applyFont="1" applyBorder="1" applyAlignment="1">
      <alignment vertical="center" wrapText="1"/>
    </xf>
    <xf numFmtId="0" fontId="11" fillId="0" borderId="2" xfId="1" applyFont="1" applyBorder="1" applyAlignment="1">
      <alignment horizontal="center" vertical="center" wrapText="1"/>
    </xf>
    <xf numFmtId="176" fontId="11" fillId="0" borderId="2" xfId="1" applyNumberFormat="1" applyFont="1" applyBorder="1" applyAlignment="1">
      <alignment horizontal="center" vertical="center" wrapText="1"/>
    </xf>
    <xf numFmtId="0" fontId="9" fillId="0" borderId="2" xfId="1" applyFont="1" applyBorder="1" applyAlignment="1">
      <alignment horizontal="center" vertical="center" wrapText="1"/>
    </xf>
    <xf numFmtId="176" fontId="9" fillId="0" borderId="2" xfId="1" applyNumberFormat="1" applyFont="1" applyBorder="1" applyAlignment="1">
      <alignment horizontal="center" vertical="center" wrapText="1"/>
    </xf>
    <xf numFmtId="58" fontId="9" fillId="0" borderId="2" xfId="1" applyNumberFormat="1" applyFont="1" applyBorder="1" applyAlignment="1">
      <alignment vertical="center" wrapText="1"/>
    </xf>
    <xf numFmtId="0" fontId="15" fillId="0" borderId="0" xfId="1" applyFont="1">
      <alignment vertical="center"/>
    </xf>
    <xf numFmtId="0" fontId="15" fillId="0" borderId="0" xfId="1" applyFont="1" applyAlignment="1">
      <alignment vertical="center" wrapText="1"/>
    </xf>
    <xf numFmtId="0" fontId="15" fillId="0" borderId="0" xfId="1" applyFont="1" applyAlignment="1">
      <alignment horizontal="center" vertical="center"/>
    </xf>
    <xf numFmtId="0" fontId="16" fillId="0" borderId="0" xfId="1" applyFont="1" applyAlignment="1">
      <alignment horizontal="center" vertical="center"/>
    </xf>
    <xf numFmtId="0" fontId="17" fillId="0" borderId="2" xfId="1" applyFont="1" applyBorder="1" applyAlignment="1">
      <alignment horizontal="center" vertical="center" wrapText="1"/>
    </xf>
    <xf numFmtId="177" fontId="0" fillId="0" borderId="0" xfId="4" applyNumberFormat="1" applyFont="1" applyAlignment="1">
      <alignment horizontal="center" vertical="center"/>
    </xf>
    <xf numFmtId="177" fontId="14" fillId="0" borderId="2" xfId="4" applyNumberFormat="1" applyFont="1" applyBorder="1" applyAlignment="1">
      <alignment horizontal="center" vertical="center"/>
    </xf>
    <xf numFmtId="177" fontId="19" fillId="0" borderId="2" xfId="4" applyNumberFormat="1" applyFont="1" applyBorder="1" applyAlignment="1">
      <alignment horizontal="center" vertical="center"/>
    </xf>
    <xf numFmtId="0" fontId="1" fillId="0" borderId="2" xfId="1" applyBorder="1">
      <alignment vertical="center"/>
    </xf>
    <xf numFmtId="177" fontId="7" fillId="0" borderId="7" xfId="4" applyNumberFormat="1" applyFont="1" applyBorder="1" applyAlignment="1">
      <alignment horizontal="center" vertical="center"/>
    </xf>
    <xf numFmtId="177" fontId="7" fillId="0" borderId="8" xfId="4" applyNumberFormat="1" applyFont="1" applyBorder="1" applyAlignment="1">
      <alignment horizontal="center" vertical="center"/>
    </xf>
    <xf numFmtId="0" fontId="7" fillId="0" borderId="8" xfId="1" applyFont="1" applyBorder="1" applyAlignment="1">
      <alignment horizontal="center" vertical="center"/>
    </xf>
    <xf numFmtId="0" fontId="7" fillId="0" borderId="9" xfId="1" applyFont="1" applyBorder="1" applyAlignment="1">
      <alignment horizontal="center" vertical="center"/>
    </xf>
    <xf numFmtId="10" fontId="17" fillId="0" borderId="2" xfId="3" applyNumberFormat="1" applyFont="1" applyFill="1" applyBorder="1" applyAlignment="1">
      <alignment horizontal="center" vertical="center" wrapText="1"/>
    </xf>
    <xf numFmtId="10" fontId="9" fillId="0" borderId="2" xfId="3" applyNumberFormat="1" applyFont="1" applyBorder="1" applyAlignment="1">
      <alignment horizontal="center" vertical="center"/>
    </xf>
    <xf numFmtId="10" fontId="20" fillId="0" borderId="2" xfId="3" applyNumberFormat="1" applyFont="1" applyBorder="1" applyAlignment="1">
      <alignment horizontal="center" vertical="center"/>
    </xf>
    <xf numFmtId="0" fontId="8" fillId="0" borderId="2" xfId="1" applyFont="1" applyBorder="1" applyAlignment="1">
      <alignment horizontal="left" vertical="center" wrapText="1"/>
    </xf>
    <xf numFmtId="10" fontId="1" fillId="0" borderId="0" xfId="3" applyNumberFormat="1" applyFont="1">
      <alignment vertical="center"/>
    </xf>
    <xf numFmtId="179" fontId="17" fillId="0" borderId="2" xfId="1" applyNumberFormat="1" applyFont="1" applyBorder="1" applyAlignment="1">
      <alignment horizontal="center" vertical="center" wrapText="1"/>
    </xf>
    <xf numFmtId="0" fontId="2" fillId="2" borderId="2" xfId="1" applyFont="1" applyFill="1" applyBorder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177" fontId="19" fillId="0" borderId="2" xfId="4" applyNumberFormat="1" applyFont="1" applyBorder="1" applyAlignment="1">
      <alignment horizontal="center" vertical="center" wrapText="1"/>
    </xf>
    <xf numFmtId="0" fontId="2" fillId="2" borderId="5" xfId="1" applyFont="1" applyFill="1" applyBorder="1" applyAlignment="1">
      <alignment horizontal="center" vertical="center" wrapText="1"/>
    </xf>
    <xf numFmtId="0" fontId="21" fillId="0" borderId="2" xfId="1" applyFont="1" applyBorder="1" applyAlignment="1">
      <alignment vertical="center" wrapText="1"/>
    </xf>
    <xf numFmtId="180" fontId="9" fillId="0" borderId="2" xfId="3" applyNumberFormat="1" applyFont="1" applyFill="1" applyBorder="1" applyAlignment="1">
      <alignment horizontal="center" vertical="center" wrapText="1"/>
    </xf>
    <xf numFmtId="180" fontId="9" fillId="0" borderId="2" xfId="1" applyNumberFormat="1" applyFont="1" applyBorder="1" applyAlignment="1">
      <alignment horizontal="center" vertical="center" wrapText="1"/>
    </xf>
    <xf numFmtId="180" fontId="15" fillId="0" borderId="0" xfId="1" applyNumberFormat="1" applyFont="1">
      <alignment vertical="center"/>
    </xf>
    <xf numFmtId="180" fontId="11" fillId="0" borderId="2" xfId="1" applyNumberFormat="1" applyFont="1" applyBorder="1" applyAlignment="1">
      <alignment horizontal="center" vertical="center" wrapText="1"/>
    </xf>
    <xf numFmtId="181" fontId="11" fillId="0" borderId="2" xfId="1" applyNumberFormat="1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12" fillId="0" borderId="2" xfId="1" applyFont="1" applyBorder="1" applyAlignment="1">
      <alignment horizontal="center" vertical="center" wrapText="1"/>
    </xf>
    <xf numFmtId="176" fontId="9" fillId="0" borderId="2" xfId="0" applyNumberFormat="1" applyFont="1" applyBorder="1" applyAlignment="1">
      <alignment horizontal="center" vertical="center" wrapText="1"/>
    </xf>
    <xf numFmtId="0" fontId="10" fillId="0" borderId="2" xfId="1" applyFont="1" applyBorder="1" applyAlignment="1">
      <alignment horizontal="center" vertical="center" wrapText="1"/>
    </xf>
    <xf numFmtId="0" fontId="10" fillId="0" borderId="2" xfId="1" applyFont="1" applyBorder="1" applyAlignment="1">
      <alignment horizontal="center" vertical="center"/>
    </xf>
    <xf numFmtId="0" fontId="1" fillId="0" borderId="0" xfId="1" applyAlignment="1">
      <alignment horizontal="center" vertical="center"/>
    </xf>
    <xf numFmtId="0" fontId="4" fillId="2" borderId="9" xfId="1" applyFont="1" applyFill="1" applyBorder="1" applyAlignment="1">
      <alignment horizontal="center" vertical="center" wrapText="1"/>
    </xf>
    <xf numFmtId="0" fontId="4" fillId="2" borderId="7" xfId="1" applyFont="1" applyFill="1" applyBorder="1" applyAlignment="1">
      <alignment horizontal="center" vertical="center" wrapText="1"/>
    </xf>
    <xf numFmtId="0" fontId="10" fillId="0" borderId="2" xfId="1" applyFont="1" applyBorder="1" applyAlignment="1">
      <alignment horizontal="left" vertical="center" wrapText="1"/>
    </xf>
    <xf numFmtId="14" fontId="10" fillId="0" borderId="2" xfId="1" applyNumberFormat="1" applyFont="1" applyBorder="1" applyAlignment="1">
      <alignment horizontal="center" vertical="center"/>
    </xf>
    <xf numFmtId="182" fontId="10" fillId="0" borderId="2" xfId="1" applyNumberFormat="1" applyFont="1" applyBorder="1" applyAlignment="1">
      <alignment horizontal="center" vertical="center"/>
    </xf>
    <xf numFmtId="0" fontId="7" fillId="0" borderId="13" xfId="1" applyFont="1" applyBorder="1" applyAlignment="1">
      <alignment vertical="center" wrapText="1"/>
    </xf>
    <xf numFmtId="0" fontId="9" fillId="0" borderId="13" xfId="1" applyFont="1" applyBorder="1" applyAlignment="1">
      <alignment horizontal="center" vertical="center"/>
    </xf>
    <xf numFmtId="14" fontId="10" fillId="0" borderId="13" xfId="1" applyNumberFormat="1" applyFont="1" applyBorder="1" applyAlignment="1">
      <alignment horizontal="center" vertical="center"/>
    </xf>
    <xf numFmtId="0" fontId="7" fillId="0" borderId="13" xfId="1" applyFont="1" applyBorder="1">
      <alignment vertical="center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22" fillId="2" borderId="2" xfId="0" applyFont="1" applyFill="1" applyBorder="1" applyAlignment="1">
      <alignment horizontal="center" vertical="center" wrapText="1"/>
    </xf>
    <xf numFmtId="0" fontId="22" fillId="2" borderId="2" xfId="1" applyFont="1" applyFill="1" applyBorder="1" applyAlignment="1">
      <alignment horizontal="center" vertical="center" wrapText="1"/>
    </xf>
    <xf numFmtId="177" fontId="9" fillId="0" borderId="2" xfId="3" applyNumberFormat="1" applyFont="1" applyBorder="1" applyAlignment="1">
      <alignment horizontal="center" vertical="center" wrapText="1"/>
    </xf>
    <xf numFmtId="177" fontId="15" fillId="0" borderId="0" xfId="3" applyNumberFormat="1" applyFont="1">
      <alignment vertical="center"/>
    </xf>
    <xf numFmtId="0" fontId="11" fillId="0" borderId="2" xfId="0" applyFont="1" applyBorder="1" applyAlignment="1">
      <alignment horizontal="center" vertical="center" wrapText="1"/>
    </xf>
    <xf numFmtId="0" fontId="4" fillId="2" borderId="11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 wrapText="1"/>
    </xf>
    <xf numFmtId="0" fontId="2" fillId="2" borderId="2" xfId="1" applyFont="1" applyFill="1" applyBorder="1" applyAlignment="1">
      <alignment horizontal="center" vertical="center" wrapText="1"/>
    </xf>
    <xf numFmtId="0" fontId="7" fillId="0" borderId="10" xfId="1" applyFont="1" applyBorder="1">
      <alignment vertical="center"/>
    </xf>
    <xf numFmtId="178" fontId="7" fillId="0" borderId="2" xfId="0" applyNumberFormat="1" applyFont="1" applyBorder="1" applyAlignment="1">
      <alignment horizontal="center" vertical="center"/>
    </xf>
    <xf numFmtId="176" fontId="11" fillId="0" borderId="2" xfId="0" applyNumberFormat="1" applyFont="1" applyBorder="1" applyAlignment="1">
      <alignment horizontal="center" vertical="center" wrapText="1"/>
    </xf>
    <xf numFmtId="0" fontId="10" fillId="0" borderId="2" xfId="1" applyFont="1" applyBorder="1" applyAlignment="1">
      <alignment horizontal="left" vertical="top" wrapText="1"/>
    </xf>
    <xf numFmtId="0" fontId="6" fillId="0" borderId="2" xfId="1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4" fillId="2" borderId="16" xfId="1" applyFont="1" applyFill="1" applyBorder="1" applyAlignment="1">
      <alignment horizontal="center" vertical="center" wrapText="1"/>
    </xf>
    <xf numFmtId="181" fontId="6" fillId="0" borderId="2" xfId="1" applyNumberFormat="1" applyFont="1" applyBorder="1" applyAlignment="1">
      <alignment horizontal="center" vertical="center" wrapText="1"/>
    </xf>
    <xf numFmtId="176" fontId="11" fillId="4" borderId="2" xfId="0" applyNumberFormat="1" applyFont="1" applyFill="1" applyBorder="1" applyAlignment="1">
      <alignment horizontal="center" vertical="center" wrapText="1"/>
    </xf>
    <xf numFmtId="0" fontId="10" fillId="0" borderId="2" xfId="1" applyFont="1" applyBorder="1" applyAlignment="1">
      <alignment horizontal="left" vertical="center"/>
    </xf>
    <xf numFmtId="0" fontId="8" fillId="0" borderId="2" xfId="1" applyFont="1" applyBorder="1" applyAlignment="1">
      <alignment horizontal="center" vertical="center"/>
    </xf>
    <xf numFmtId="0" fontId="12" fillId="0" borderId="2" xfId="1" applyFont="1" applyBorder="1" applyAlignment="1">
      <alignment horizontal="left" vertical="center" wrapText="1"/>
    </xf>
    <xf numFmtId="0" fontId="12" fillId="0" borderId="2" xfId="1" applyFont="1" applyBorder="1" applyAlignment="1">
      <alignment horizontal="center" vertical="center"/>
    </xf>
    <xf numFmtId="0" fontId="0" fillId="0" borderId="2" xfId="0" applyFont="1" applyBorder="1" applyAlignment="1">
      <alignment horizontal="left"/>
    </xf>
    <xf numFmtId="0" fontId="2" fillId="2" borderId="2" xfId="1" applyFont="1" applyFill="1" applyBorder="1" applyAlignment="1">
      <alignment horizontal="center" vertical="center" wrapText="1"/>
    </xf>
    <xf numFmtId="0" fontId="4" fillId="2" borderId="17" xfId="1" applyFont="1" applyFill="1" applyBorder="1" applyAlignment="1">
      <alignment horizontal="center" vertical="center" wrapText="1"/>
    </xf>
    <xf numFmtId="180" fontId="4" fillId="2" borderId="17" xfId="1" applyNumberFormat="1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4" fillId="2" borderId="16" xfId="1" applyFont="1" applyFill="1" applyBorder="1" applyAlignment="1">
      <alignment horizontal="center" vertical="center" wrapText="1"/>
    </xf>
    <xf numFmtId="180" fontId="4" fillId="2" borderId="16" xfId="1" applyNumberFormat="1" applyFont="1" applyFill="1" applyBorder="1" applyAlignment="1">
      <alignment horizontal="center" vertical="center" wrapText="1"/>
    </xf>
    <xf numFmtId="0" fontId="4" fillId="2" borderId="17" xfId="0" applyFont="1" applyFill="1" applyBorder="1" applyAlignment="1">
      <alignment horizontal="center" vertical="center" wrapText="1"/>
    </xf>
    <xf numFmtId="180" fontId="4" fillId="2" borderId="17" xfId="0" applyNumberFormat="1" applyFont="1" applyFill="1" applyBorder="1" applyAlignment="1">
      <alignment horizontal="center" vertical="center" wrapText="1"/>
    </xf>
    <xf numFmtId="0" fontId="4" fillId="2" borderId="20" xfId="1" applyFont="1" applyFill="1" applyBorder="1" applyAlignment="1">
      <alignment horizontal="center" vertical="center" wrapText="1"/>
    </xf>
    <xf numFmtId="0" fontId="4" fillId="2" borderId="19" xfId="1" applyFont="1" applyFill="1" applyBorder="1" applyAlignment="1">
      <alignment horizontal="center" vertical="center" wrapText="1"/>
    </xf>
    <xf numFmtId="0" fontId="6" fillId="0" borderId="2" xfId="1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4" fillId="2" borderId="18" xfId="0" applyFont="1" applyFill="1" applyBorder="1" applyAlignment="1">
      <alignment horizontal="center" vertical="center" wrapText="1"/>
    </xf>
    <xf numFmtId="0" fontId="4" fillId="2" borderId="19" xfId="0" applyFont="1" applyFill="1" applyBorder="1" applyAlignment="1">
      <alignment horizontal="center" vertical="center" wrapText="1"/>
    </xf>
    <xf numFmtId="0" fontId="6" fillId="3" borderId="14" xfId="1" applyFont="1" applyFill="1" applyBorder="1" applyAlignment="1">
      <alignment horizontal="center" vertical="center" wrapText="1"/>
    </xf>
    <xf numFmtId="0" fontId="6" fillId="3" borderId="15" xfId="1" applyFont="1" applyFill="1" applyBorder="1" applyAlignment="1">
      <alignment horizontal="center" vertical="center" wrapText="1"/>
    </xf>
    <xf numFmtId="0" fontId="6" fillId="3" borderId="12" xfId="1" applyFont="1" applyFill="1" applyBorder="1" applyAlignment="1">
      <alignment horizontal="center" vertical="center" wrapText="1"/>
    </xf>
    <xf numFmtId="0" fontId="18" fillId="0" borderId="6" xfId="1" applyFont="1" applyBorder="1" applyAlignment="1">
      <alignment horizontal="center" vertical="center"/>
    </xf>
    <xf numFmtId="0" fontId="18" fillId="0" borderId="4" xfId="1" applyFont="1" applyBorder="1" applyAlignment="1">
      <alignment horizontal="center" vertical="center"/>
    </xf>
    <xf numFmtId="0" fontId="18" fillId="0" borderId="3" xfId="1" applyFont="1" applyBorder="1" applyAlignment="1">
      <alignment horizontal="center" vertical="center"/>
    </xf>
  </cellXfs>
  <cellStyles count="6">
    <cellStyle name="百分比" xfId="3" builtinId="5"/>
    <cellStyle name="百分比 2" xfId="2"/>
    <cellStyle name="百分比 3" xfId="4"/>
    <cellStyle name="常规" xfId="0" builtinId="0"/>
    <cellStyle name="常规 2" xfId="1"/>
    <cellStyle name="常规 3" xfId="5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AW49"/>
  <sheetViews>
    <sheetView tabSelected="1" zoomScaleNormal="100" workbookViewId="0">
      <pane ySplit="1" topLeftCell="A2" activePane="bottomLeft" state="frozen"/>
      <selection pane="bottomLeft" activeCell="B3" sqref="B3:B15"/>
    </sheetView>
  </sheetViews>
  <sheetFormatPr defaultColWidth="10" defaultRowHeight="13.5"/>
  <cols>
    <col min="1" max="2" width="9.75" style="10" customWidth="1"/>
    <col min="3" max="3" width="8.75" style="10" bestFit="1" customWidth="1"/>
    <col min="4" max="4" width="21.25" style="10" bestFit="1" customWidth="1"/>
    <col min="5" max="5" width="2.5" style="10" hidden="1" customWidth="1"/>
    <col min="6" max="6" width="7.375" style="38" hidden="1" customWidth="1"/>
    <col min="7" max="7" width="2.5" style="10" hidden="1" customWidth="1"/>
    <col min="8" max="8" width="7.375" style="38" hidden="1" customWidth="1"/>
    <col min="9" max="9" width="2.5" style="10" hidden="1" customWidth="1"/>
    <col min="10" max="10" width="7.375" style="38" hidden="1" customWidth="1"/>
    <col min="11" max="11" width="2.5" style="10" hidden="1" customWidth="1"/>
    <col min="12" max="12" width="7.375" style="38" hidden="1" customWidth="1"/>
    <col min="13" max="13" width="4.5" style="10" hidden="1" customWidth="1"/>
    <col min="14" max="14" width="7.375" style="38" hidden="1" customWidth="1"/>
    <col min="15" max="15" width="6.5" style="10" hidden="1" customWidth="1"/>
    <col min="16" max="16" width="7.375" style="38" hidden="1" customWidth="1"/>
    <col min="17" max="17" width="6.5" style="38" hidden="1" customWidth="1"/>
    <col min="18" max="18" width="7.375" style="38" hidden="1" customWidth="1"/>
    <col min="19" max="19" width="5" style="38" hidden="1" customWidth="1"/>
    <col min="20" max="20" width="7.375" style="38" hidden="1" customWidth="1"/>
    <col min="21" max="21" width="6.5" style="38" hidden="1" customWidth="1"/>
    <col min="22" max="22" width="7.375" style="38" hidden="1" customWidth="1"/>
    <col min="23" max="23" width="5.5" style="38" hidden="1" customWidth="1"/>
    <col min="24" max="24" width="7.375" style="38" hidden="1" customWidth="1"/>
    <col min="25" max="25" width="5.5" style="38" hidden="1" customWidth="1"/>
    <col min="26" max="26" width="7.375" style="38" hidden="1" customWidth="1"/>
    <col min="27" max="27" width="5.5" style="38" hidden="1" customWidth="1"/>
    <col min="28" max="28" width="7.375" style="38" hidden="1" customWidth="1"/>
    <col min="29" max="29" width="9.5" style="10" hidden="1" customWidth="1"/>
    <col min="30" max="30" width="9" style="10" hidden="1" customWidth="1"/>
    <col min="31" max="33" width="9" style="65" hidden="1" customWidth="1"/>
    <col min="34" max="35" width="9" style="65" customWidth="1"/>
    <col min="36" max="36" width="9" style="10" customWidth="1"/>
    <col min="37" max="37" width="11.375" style="10" customWidth="1"/>
    <col min="38" max="38" width="61.875" style="11" customWidth="1"/>
    <col min="39" max="39" width="6.625" style="13" bestFit="1" customWidth="1"/>
    <col min="40" max="40" width="6.625" style="13" customWidth="1"/>
    <col min="41" max="41" width="10" style="13" hidden="1" customWidth="1"/>
    <col min="42" max="42" width="10" style="13" customWidth="1"/>
    <col min="43" max="43" width="11.75" style="13" hidden="1" customWidth="1"/>
    <col min="44" max="44" width="11.125" style="10" hidden="1" customWidth="1"/>
    <col min="45" max="45" width="9.75" style="1" hidden="1" customWidth="1"/>
    <col min="46" max="105" width="9.75" style="1" customWidth="1"/>
    <col min="106" max="16384" width="10" style="1"/>
  </cols>
  <sheetData>
    <row r="1" spans="1:49" ht="28.5" customHeight="1">
      <c r="A1" s="48" t="s">
        <v>155</v>
      </c>
      <c r="B1" s="67" t="s">
        <v>81</v>
      </c>
      <c r="C1" s="68" t="s">
        <v>68</v>
      </c>
      <c r="D1" s="68" t="s">
        <v>69</v>
      </c>
      <c r="E1" s="88" t="s">
        <v>4</v>
      </c>
      <c r="F1" s="89"/>
      <c r="G1" s="88" t="s">
        <v>7</v>
      </c>
      <c r="H1" s="89"/>
      <c r="I1" s="90" t="s">
        <v>8</v>
      </c>
      <c r="J1" s="91"/>
      <c r="K1" s="85" t="s">
        <v>11</v>
      </c>
      <c r="L1" s="86"/>
      <c r="M1" s="85" t="s">
        <v>13</v>
      </c>
      <c r="N1" s="86"/>
      <c r="O1" s="85" t="s">
        <v>17</v>
      </c>
      <c r="P1" s="86"/>
      <c r="Q1" s="85" t="s">
        <v>76</v>
      </c>
      <c r="R1" s="86"/>
      <c r="S1" s="85" t="s">
        <v>0</v>
      </c>
      <c r="T1" s="86"/>
      <c r="U1" s="90" t="s">
        <v>1</v>
      </c>
      <c r="V1" s="90"/>
      <c r="W1" s="90" t="s">
        <v>84</v>
      </c>
      <c r="X1" s="90"/>
      <c r="Y1" s="96" t="s">
        <v>2</v>
      </c>
      <c r="Z1" s="97"/>
      <c r="AA1" s="96" t="s">
        <v>3</v>
      </c>
      <c r="AB1" s="97"/>
      <c r="AC1" s="76">
        <v>2025</v>
      </c>
      <c r="AD1" s="92" t="s">
        <v>194</v>
      </c>
      <c r="AE1" s="93"/>
      <c r="AF1" s="92" t="s">
        <v>218</v>
      </c>
      <c r="AG1" s="93"/>
      <c r="AH1" s="92" t="s">
        <v>240</v>
      </c>
      <c r="AI1" s="93"/>
      <c r="AJ1" s="76">
        <v>2026</v>
      </c>
      <c r="AK1" s="76" t="s">
        <v>70</v>
      </c>
      <c r="AL1" s="68" t="s">
        <v>71</v>
      </c>
      <c r="AM1" s="68" t="s">
        <v>72</v>
      </c>
      <c r="AN1" s="68" t="s">
        <v>192</v>
      </c>
      <c r="AO1" s="68" t="s">
        <v>193</v>
      </c>
      <c r="AP1" s="68" t="s">
        <v>182</v>
      </c>
      <c r="AQ1" s="68" t="s">
        <v>85</v>
      </c>
      <c r="AR1" s="68" t="s">
        <v>73</v>
      </c>
      <c r="AS1" s="49" t="s">
        <v>74</v>
      </c>
    </row>
    <row r="2" spans="1:49" ht="17.25" customHeight="1">
      <c r="A2" s="98"/>
      <c r="B2" s="99"/>
      <c r="C2" s="99"/>
      <c r="D2" s="100"/>
      <c r="E2" s="87">
        <v>5133</v>
      </c>
      <c r="F2" s="87"/>
      <c r="G2" s="87">
        <v>1352</v>
      </c>
      <c r="H2" s="87"/>
      <c r="I2" s="87">
        <v>295</v>
      </c>
      <c r="J2" s="87"/>
      <c r="K2" s="87">
        <v>1314</v>
      </c>
      <c r="L2" s="87"/>
      <c r="M2" s="87">
        <v>2861</v>
      </c>
      <c r="N2" s="87"/>
      <c r="O2" s="87">
        <v>40193</v>
      </c>
      <c r="P2" s="87"/>
      <c r="Q2" s="87">
        <v>63860</v>
      </c>
      <c r="R2" s="87"/>
      <c r="S2" s="87">
        <v>10674</v>
      </c>
      <c r="T2" s="87"/>
      <c r="U2" s="87">
        <v>48622</v>
      </c>
      <c r="V2" s="87"/>
      <c r="W2" s="87">
        <v>19241</v>
      </c>
      <c r="X2" s="87"/>
      <c r="Y2" s="87">
        <v>2014</v>
      </c>
      <c r="Z2" s="87"/>
      <c r="AA2" s="87">
        <v>489</v>
      </c>
      <c r="AB2" s="87"/>
      <c r="AC2" s="74">
        <f>SUM(E2:AB2)</f>
        <v>196048</v>
      </c>
      <c r="AD2" s="94">
        <f>SUM(AD3:AD28)</f>
        <v>11436</v>
      </c>
      <c r="AE2" s="94"/>
      <c r="AF2" s="94">
        <f>SUM(AF3:AF28)</f>
        <v>40103</v>
      </c>
      <c r="AG2" s="94"/>
      <c r="AH2" s="94">
        <f>SUM(AH3:AH28)</f>
        <v>468</v>
      </c>
      <c r="AI2" s="94"/>
      <c r="AJ2" s="74">
        <f>AD2</f>
        <v>11436</v>
      </c>
      <c r="AK2" s="77">
        <f>SUM(E2:AB2,AD2,AF2)</f>
        <v>247587</v>
      </c>
      <c r="AL2" s="53"/>
      <c r="AM2" s="54"/>
      <c r="AN2" s="54"/>
      <c r="AO2" s="54"/>
      <c r="AP2" s="54"/>
      <c r="AQ2" s="55"/>
      <c r="AR2" s="56"/>
      <c r="AS2" s="70"/>
      <c r="AT2" s="27"/>
      <c r="AU2" s="47"/>
      <c r="AV2" s="47"/>
      <c r="AW2" s="47"/>
    </row>
    <row r="3" spans="1:49" ht="16.5" hidden="1">
      <c r="A3" s="69" t="s">
        <v>241</v>
      </c>
      <c r="B3" s="84" t="s">
        <v>82</v>
      </c>
      <c r="C3" s="75" t="s">
        <v>77</v>
      </c>
      <c r="D3" s="75" t="s">
        <v>78</v>
      </c>
      <c r="E3" s="42">
        <v>0</v>
      </c>
      <c r="F3" s="37">
        <v>0</v>
      </c>
      <c r="G3" s="42">
        <v>0</v>
      </c>
      <c r="H3" s="37">
        <v>0</v>
      </c>
      <c r="I3" s="42">
        <v>0</v>
      </c>
      <c r="J3" s="37">
        <v>0</v>
      </c>
      <c r="K3" s="7">
        <v>0</v>
      </c>
      <c r="L3" s="37">
        <v>0</v>
      </c>
      <c r="M3" s="5">
        <v>0</v>
      </c>
      <c r="N3" s="6">
        <v>0</v>
      </c>
      <c r="O3" s="5">
        <v>21719</v>
      </c>
      <c r="P3" s="6">
        <v>2.7662723400786616E-2</v>
      </c>
      <c r="Q3" s="7">
        <v>29750</v>
      </c>
      <c r="R3" s="8">
        <v>1.8879730721097828E-2</v>
      </c>
      <c r="S3" s="7">
        <v>257</v>
      </c>
      <c r="T3" s="78">
        <v>1.5130222944129444E-4</v>
      </c>
      <c r="U3" s="7">
        <v>0</v>
      </c>
      <c r="V3" s="8">
        <v>0</v>
      </c>
      <c r="W3" s="7">
        <v>0</v>
      </c>
      <c r="X3" s="8">
        <v>0</v>
      </c>
      <c r="Y3" s="7">
        <v>0</v>
      </c>
      <c r="Z3" s="8">
        <v>0</v>
      </c>
      <c r="AA3" s="7">
        <v>0</v>
      </c>
      <c r="AB3" s="8">
        <v>0</v>
      </c>
      <c r="AC3" s="7">
        <f t="shared" ref="AC3:AC9" si="0">SUM(E3+G3+I3+K3+M3+O3+Q3+S3+U3+W3+Y3+AA3)</f>
        <v>51726</v>
      </c>
      <c r="AD3" s="7">
        <v>0</v>
      </c>
      <c r="AE3" s="64">
        <v>0</v>
      </c>
      <c r="AF3" s="7">
        <v>0</v>
      </c>
      <c r="AG3" s="64">
        <v>0</v>
      </c>
      <c r="AH3" s="7">
        <v>0</v>
      </c>
      <c r="AI3" s="64">
        <v>0</v>
      </c>
      <c r="AJ3" s="5">
        <f t="shared" ref="AJ3:AJ9" si="1">SUM(AD3,AF3)</f>
        <v>0</v>
      </c>
      <c r="AK3" s="40">
        <f t="shared" ref="AK3:AK9" si="2">SUM(AJ3,AC3)</f>
        <v>51726</v>
      </c>
      <c r="AL3" s="50" t="s">
        <v>263</v>
      </c>
      <c r="AM3" s="45" t="s">
        <v>222</v>
      </c>
      <c r="AN3" s="45" t="s">
        <v>79</v>
      </c>
      <c r="AO3" s="45" t="s">
        <v>158</v>
      </c>
      <c r="AP3" s="45" t="s">
        <v>183</v>
      </c>
      <c r="AQ3" s="51">
        <v>46081</v>
      </c>
      <c r="AR3" s="51">
        <v>46081</v>
      </c>
      <c r="AS3" s="71" t="str">
        <f>"W"&amp;WEEKNUM(AR3,2)</f>
        <v>W9</v>
      </c>
      <c r="AU3" s="47"/>
      <c r="AV3" s="47"/>
      <c r="AW3" s="47"/>
    </row>
    <row r="4" spans="1:49" ht="33">
      <c r="A4" s="75" t="s">
        <v>83</v>
      </c>
      <c r="B4" s="84"/>
      <c r="C4" s="75" t="s">
        <v>6</v>
      </c>
      <c r="D4" s="75" t="s">
        <v>176</v>
      </c>
      <c r="E4" s="42">
        <v>0</v>
      </c>
      <c r="F4" s="44">
        <v>0</v>
      </c>
      <c r="G4" s="42">
        <v>0</v>
      </c>
      <c r="H4" s="44">
        <v>0</v>
      </c>
      <c r="I4" s="42">
        <v>0</v>
      </c>
      <c r="J4" s="44">
        <v>0</v>
      </c>
      <c r="K4" s="42">
        <v>0</v>
      </c>
      <c r="L4" s="44">
        <v>0</v>
      </c>
      <c r="M4" s="42">
        <v>0</v>
      </c>
      <c r="N4" s="44">
        <v>0</v>
      </c>
      <c r="O4" s="42">
        <v>0</v>
      </c>
      <c r="P4" s="44">
        <v>0</v>
      </c>
      <c r="Q4" s="42">
        <v>0</v>
      </c>
      <c r="R4" s="44">
        <v>0</v>
      </c>
      <c r="S4" s="42">
        <v>0</v>
      </c>
      <c r="T4" s="44">
        <v>0</v>
      </c>
      <c r="U4" s="7">
        <v>39520</v>
      </c>
      <c r="V4" s="8">
        <v>1.4012425390571539E-2</v>
      </c>
      <c r="W4" s="7">
        <v>1002</v>
      </c>
      <c r="X4" s="8">
        <v>3.6288977603326708E-4</v>
      </c>
      <c r="Y4" s="7">
        <v>4061</v>
      </c>
      <c r="Z4" s="8">
        <v>1.1623124551181675E-3</v>
      </c>
      <c r="AA4" s="43">
        <v>1603</v>
      </c>
      <c r="AB4" s="8">
        <v>4.5112269890134878E-4</v>
      </c>
      <c r="AC4" s="7">
        <f t="shared" si="0"/>
        <v>46186</v>
      </c>
      <c r="AD4" s="7">
        <v>501</v>
      </c>
      <c r="AE4" s="64">
        <v>1.688576593969119E-4</v>
      </c>
      <c r="AF4" s="7">
        <v>0</v>
      </c>
      <c r="AG4" s="64">
        <v>0</v>
      </c>
      <c r="AH4" s="7">
        <v>0</v>
      </c>
      <c r="AI4" s="64">
        <v>0</v>
      </c>
      <c r="AJ4" s="5">
        <f t="shared" si="1"/>
        <v>501</v>
      </c>
      <c r="AK4" s="40">
        <f t="shared" si="2"/>
        <v>46687</v>
      </c>
      <c r="AL4" s="81" t="s">
        <v>283</v>
      </c>
      <c r="AM4" s="82" t="s">
        <v>231</v>
      </c>
      <c r="AN4" s="46" t="s">
        <v>232</v>
      </c>
      <c r="AO4" s="46" t="s">
        <v>160</v>
      </c>
      <c r="AP4" s="45" t="s">
        <v>183</v>
      </c>
      <c r="AQ4" s="51">
        <v>46101</v>
      </c>
      <c r="AR4" s="51">
        <v>46101</v>
      </c>
      <c r="AS4" s="71" t="str">
        <f>"W"&amp;WEEKNUM(AR4,2)</f>
        <v>W12</v>
      </c>
    </row>
    <row r="5" spans="1:49" ht="21" hidden="1" customHeight="1">
      <c r="A5" s="75" t="s">
        <v>166</v>
      </c>
      <c r="B5" s="84"/>
      <c r="C5" s="75" t="s">
        <v>6</v>
      </c>
      <c r="D5" s="75" t="s">
        <v>177</v>
      </c>
      <c r="E5" s="7">
        <v>0</v>
      </c>
      <c r="F5" s="8">
        <v>0</v>
      </c>
      <c r="G5" s="7">
        <v>0</v>
      </c>
      <c r="H5" s="8">
        <v>0</v>
      </c>
      <c r="I5" s="7">
        <v>0</v>
      </c>
      <c r="J5" s="8">
        <v>0</v>
      </c>
      <c r="K5" s="5">
        <v>0</v>
      </c>
      <c r="L5" s="6">
        <v>0</v>
      </c>
      <c r="M5" s="5">
        <v>0</v>
      </c>
      <c r="N5" s="6">
        <v>0</v>
      </c>
      <c r="O5" s="66">
        <v>0</v>
      </c>
      <c r="P5" s="72">
        <v>0</v>
      </c>
      <c r="Q5" s="7">
        <v>0</v>
      </c>
      <c r="R5" s="8">
        <v>0</v>
      </c>
      <c r="S5" s="7">
        <v>0</v>
      </c>
      <c r="T5" s="72">
        <v>0</v>
      </c>
      <c r="U5" s="7">
        <v>3984</v>
      </c>
      <c r="V5" s="8">
        <v>1.4125886324908149E-3</v>
      </c>
      <c r="W5" s="7">
        <v>9489</v>
      </c>
      <c r="X5" s="8">
        <v>3.4365879089617475E-3</v>
      </c>
      <c r="Y5" s="7">
        <v>3067</v>
      </c>
      <c r="Z5" s="8">
        <v>8.7781637523945324E-4</v>
      </c>
      <c r="AA5" s="43">
        <v>170</v>
      </c>
      <c r="AB5" s="72">
        <v>4.7842082852919086E-5</v>
      </c>
      <c r="AC5" s="7">
        <f t="shared" si="0"/>
        <v>16710</v>
      </c>
      <c r="AD5" s="7">
        <v>0</v>
      </c>
      <c r="AE5" s="64">
        <v>0</v>
      </c>
      <c r="AF5" s="7">
        <v>0</v>
      </c>
      <c r="AG5" s="64">
        <v>0</v>
      </c>
      <c r="AH5" s="7">
        <v>0</v>
      </c>
      <c r="AI5" s="64">
        <v>0</v>
      </c>
      <c r="AJ5" s="5">
        <f t="shared" si="1"/>
        <v>0</v>
      </c>
      <c r="AK5" s="40">
        <f t="shared" si="2"/>
        <v>16710</v>
      </c>
      <c r="AL5" s="50" t="s">
        <v>271</v>
      </c>
      <c r="AM5" s="46" t="s">
        <v>228</v>
      </c>
      <c r="AN5" s="46" t="s">
        <v>229</v>
      </c>
      <c r="AO5" s="45" t="s">
        <v>159</v>
      </c>
      <c r="AP5" s="45" t="s">
        <v>183</v>
      </c>
      <c r="AQ5" s="51">
        <v>46101</v>
      </c>
      <c r="AR5" s="51">
        <v>46101</v>
      </c>
      <c r="AS5" s="71" t="str">
        <f>"W"&amp;WEEKNUM(AR5,2)</f>
        <v>W12</v>
      </c>
    </row>
    <row r="6" spans="1:49" ht="33">
      <c r="A6" s="75" t="s">
        <v>219</v>
      </c>
      <c r="B6" s="84"/>
      <c r="C6" s="75" t="s">
        <v>220</v>
      </c>
      <c r="D6" s="75" t="s">
        <v>239</v>
      </c>
      <c r="E6" s="7">
        <v>0</v>
      </c>
      <c r="F6" s="8">
        <v>0</v>
      </c>
      <c r="G6" s="7">
        <v>0</v>
      </c>
      <c r="H6" s="8">
        <v>0</v>
      </c>
      <c r="I6" s="7">
        <v>0</v>
      </c>
      <c r="J6" s="8">
        <v>0</v>
      </c>
      <c r="K6" s="5">
        <v>0</v>
      </c>
      <c r="L6" s="6">
        <v>0</v>
      </c>
      <c r="M6" s="5">
        <v>0</v>
      </c>
      <c r="N6" s="6">
        <v>0</v>
      </c>
      <c r="O6" s="66">
        <v>0</v>
      </c>
      <c r="P6" s="72">
        <v>0</v>
      </c>
      <c r="Q6" s="7">
        <v>0</v>
      </c>
      <c r="R6" s="8">
        <v>0</v>
      </c>
      <c r="S6" s="7">
        <v>0</v>
      </c>
      <c r="T6" s="72">
        <v>0</v>
      </c>
      <c r="U6" s="7">
        <v>0</v>
      </c>
      <c r="V6" s="8">
        <v>0</v>
      </c>
      <c r="W6" s="7">
        <v>4</v>
      </c>
      <c r="X6" s="8">
        <v>1.4486617805719243E-6</v>
      </c>
      <c r="Y6" s="7">
        <v>11</v>
      </c>
      <c r="Z6" s="8">
        <v>3.1483469604284272E-6</v>
      </c>
      <c r="AA6" s="43">
        <v>832</v>
      </c>
      <c r="AB6" s="72">
        <v>2.3414478196252163E-4</v>
      </c>
      <c r="AC6" s="7">
        <f t="shared" si="0"/>
        <v>847</v>
      </c>
      <c r="AD6" s="7">
        <v>1399</v>
      </c>
      <c r="AE6" s="64">
        <v>4.7152068961333281E-4</v>
      </c>
      <c r="AF6" s="7">
        <v>3705</v>
      </c>
      <c r="AG6" s="64">
        <v>1.4938931824037527E-3</v>
      </c>
      <c r="AH6" s="7">
        <v>451</v>
      </c>
      <c r="AI6" s="64">
        <v>7.5247432243941831E-4</v>
      </c>
      <c r="AJ6" s="5">
        <f t="shared" si="1"/>
        <v>5104</v>
      </c>
      <c r="AK6" s="40">
        <f t="shared" si="2"/>
        <v>5951</v>
      </c>
      <c r="AL6" s="50" t="s">
        <v>284</v>
      </c>
      <c r="AM6" s="80" t="s">
        <v>230</v>
      </c>
      <c r="AN6" s="46" t="s">
        <v>221</v>
      </c>
      <c r="AO6" s="45"/>
      <c r="AP6" s="45" t="s">
        <v>183</v>
      </c>
      <c r="AQ6" s="51"/>
      <c r="AR6" s="51"/>
      <c r="AS6" s="71"/>
    </row>
    <row r="7" spans="1:49" ht="66">
      <c r="A7" s="75" t="s">
        <v>267</v>
      </c>
      <c r="B7" s="84"/>
      <c r="C7" s="75" t="s">
        <v>268</v>
      </c>
      <c r="D7" s="75" t="s">
        <v>239</v>
      </c>
      <c r="E7" s="66"/>
      <c r="F7" s="72"/>
      <c r="G7" s="66"/>
      <c r="H7" s="72"/>
      <c r="I7" s="66"/>
      <c r="J7" s="72"/>
      <c r="K7" s="66"/>
      <c r="L7" s="72"/>
      <c r="M7" s="66"/>
      <c r="N7" s="72"/>
      <c r="O7" s="66"/>
      <c r="P7" s="72"/>
      <c r="Q7" s="66"/>
      <c r="R7" s="72"/>
      <c r="S7" s="66"/>
      <c r="T7" s="72"/>
      <c r="U7" s="66"/>
      <c r="V7" s="72"/>
      <c r="W7" s="66"/>
      <c r="X7" s="72"/>
      <c r="Y7" s="66"/>
      <c r="Z7" s="72"/>
      <c r="AA7" s="66"/>
      <c r="AB7" s="72"/>
      <c r="AC7" s="7"/>
      <c r="AD7" s="7"/>
      <c r="AE7" s="64"/>
      <c r="AF7" s="7"/>
      <c r="AG7" s="64"/>
      <c r="AH7" s="7"/>
      <c r="AI7" s="64"/>
      <c r="AJ7" s="5"/>
      <c r="AK7" s="40">
        <v>5218</v>
      </c>
      <c r="AL7" s="73" t="s">
        <v>292</v>
      </c>
      <c r="AM7" s="82" t="s">
        <v>269</v>
      </c>
      <c r="AN7" s="46" t="s">
        <v>270</v>
      </c>
      <c r="AO7" s="45"/>
      <c r="AP7" s="45" t="s">
        <v>183</v>
      </c>
      <c r="AQ7" s="51"/>
      <c r="AR7" s="51"/>
      <c r="AS7" s="71"/>
    </row>
    <row r="8" spans="1:49" ht="16.5">
      <c r="A8" s="75" t="s">
        <v>207</v>
      </c>
      <c r="B8" s="84"/>
      <c r="C8" s="75" t="s">
        <v>208</v>
      </c>
      <c r="D8" s="75" t="s">
        <v>203</v>
      </c>
      <c r="E8" s="66">
        <v>0</v>
      </c>
      <c r="F8" s="72">
        <v>0</v>
      </c>
      <c r="G8" s="66">
        <v>0</v>
      </c>
      <c r="H8" s="72">
        <v>0</v>
      </c>
      <c r="I8" s="66">
        <v>0</v>
      </c>
      <c r="J8" s="72">
        <v>0</v>
      </c>
      <c r="K8" s="66">
        <v>0</v>
      </c>
      <c r="L8" s="72">
        <v>0</v>
      </c>
      <c r="M8" s="66">
        <v>0</v>
      </c>
      <c r="N8" s="72">
        <v>0</v>
      </c>
      <c r="O8" s="66">
        <v>0</v>
      </c>
      <c r="P8" s="72">
        <v>0</v>
      </c>
      <c r="Q8" s="66">
        <v>0</v>
      </c>
      <c r="R8" s="72">
        <v>0</v>
      </c>
      <c r="S8" s="66">
        <v>0</v>
      </c>
      <c r="T8" s="72">
        <v>0</v>
      </c>
      <c r="U8" s="66">
        <v>0</v>
      </c>
      <c r="V8" s="72">
        <v>0</v>
      </c>
      <c r="W8" s="66">
        <v>0</v>
      </c>
      <c r="X8" s="72">
        <v>0</v>
      </c>
      <c r="Y8" s="66">
        <v>0</v>
      </c>
      <c r="Z8" s="72">
        <v>0</v>
      </c>
      <c r="AA8" s="66">
        <v>0</v>
      </c>
      <c r="AB8" s="72">
        <v>0</v>
      </c>
      <c r="AC8" s="7">
        <f t="shared" si="0"/>
        <v>0</v>
      </c>
      <c r="AD8" s="7">
        <v>0</v>
      </c>
      <c r="AE8" s="64">
        <v>0</v>
      </c>
      <c r="AF8" s="7">
        <v>5045</v>
      </c>
      <c r="AG8" s="64">
        <v>2.0341946302906699E-3</v>
      </c>
      <c r="AH8" s="7">
        <v>0</v>
      </c>
      <c r="AI8" s="64">
        <v>0</v>
      </c>
      <c r="AJ8" s="5">
        <f t="shared" si="1"/>
        <v>5045</v>
      </c>
      <c r="AK8" s="40">
        <f t="shared" si="2"/>
        <v>5045</v>
      </c>
      <c r="AL8" s="73" t="s">
        <v>217</v>
      </c>
      <c r="AM8" s="82" t="s">
        <v>227</v>
      </c>
      <c r="AN8" s="46" t="s">
        <v>227</v>
      </c>
      <c r="AO8" s="45"/>
      <c r="AP8" s="45" t="s">
        <v>183</v>
      </c>
      <c r="AQ8" s="51">
        <v>46068</v>
      </c>
      <c r="AR8" s="51">
        <v>46068</v>
      </c>
      <c r="AS8" s="71" t="str">
        <f>"W"&amp;WEEKNUM(AR8,2)</f>
        <v>W7</v>
      </c>
    </row>
    <row r="9" spans="1:49" ht="21" customHeight="1">
      <c r="A9" s="75" t="s">
        <v>215</v>
      </c>
      <c r="B9" s="84"/>
      <c r="C9" s="75" t="s">
        <v>202</v>
      </c>
      <c r="D9" s="75" t="s">
        <v>203</v>
      </c>
      <c r="E9" s="66">
        <v>0</v>
      </c>
      <c r="F9" s="72">
        <v>0</v>
      </c>
      <c r="G9" s="66">
        <v>0</v>
      </c>
      <c r="H9" s="72">
        <v>0</v>
      </c>
      <c r="I9" s="66">
        <v>0</v>
      </c>
      <c r="J9" s="72">
        <v>0</v>
      </c>
      <c r="K9" s="66">
        <v>0</v>
      </c>
      <c r="L9" s="72">
        <v>0</v>
      </c>
      <c r="M9" s="66">
        <v>0</v>
      </c>
      <c r="N9" s="72">
        <v>0</v>
      </c>
      <c r="O9" s="66">
        <v>0</v>
      </c>
      <c r="P9" s="72">
        <v>0</v>
      </c>
      <c r="Q9" s="66">
        <v>0</v>
      </c>
      <c r="R9" s="72">
        <v>0</v>
      </c>
      <c r="S9" s="66">
        <v>0</v>
      </c>
      <c r="T9" s="72">
        <v>0</v>
      </c>
      <c r="U9" s="66">
        <v>0</v>
      </c>
      <c r="V9" s="72">
        <v>0</v>
      </c>
      <c r="W9" s="66">
        <v>0</v>
      </c>
      <c r="X9" s="72">
        <v>0</v>
      </c>
      <c r="Y9" s="66">
        <v>0</v>
      </c>
      <c r="Z9" s="72">
        <v>0</v>
      </c>
      <c r="AA9" s="66">
        <v>0</v>
      </c>
      <c r="AB9" s="72">
        <v>0</v>
      </c>
      <c r="AC9" s="7">
        <f t="shared" si="0"/>
        <v>0</v>
      </c>
      <c r="AD9" s="7">
        <v>0</v>
      </c>
      <c r="AE9" s="64">
        <v>0</v>
      </c>
      <c r="AF9" s="7">
        <v>5100</v>
      </c>
      <c r="AG9" s="64">
        <v>2.056371182256178E-3</v>
      </c>
      <c r="AH9" s="7">
        <v>0</v>
      </c>
      <c r="AI9" s="64">
        <v>0</v>
      </c>
      <c r="AJ9" s="5">
        <f t="shared" si="1"/>
        <v>5100</v>
      </c>
      <c r="AK9" s="40">
        <f t="shared" si="2"/>
        <v>5100</v>
      </c>
      <c r="AL9" s="50" t="s">
        <v>282</v>
      </c>
      <c r="AM9" s="82" t="s">
        <v>227</v>
      </c>
      <c r="AN9" s="46" t="s">
        <v>204</v>
      </c>
      <c r="AO9" s="45"/>
      <c r="AP9" s="45" t="s">
        <v>183</v>
      </c>
      <c r="AQ9" s="51">
        <v>46068</v>
      </c>
      <c r="AR9" s="51">
        <v>46068</v>
      </c>
      <c r="AS9" s="71" t="str">
        <f>"W"&amp;WEEKNUM(AR9,2)</f>
        <v>W7</v>
      </c>
    </row>
    <row r="10" spans="1:49" ht="16.5">
      <c r="A10" s="75" t="s">
        <v>211</v>
      </c>
      <c r="B10" s="84"/>
      <c r="C10" s="75" t="s">
        <v>212</v>
      </c>
      <c r="D10" s="75" t="s">
        <v>203</v>
      </c>
      <c r="E10" s="66">
        <v>0</v>
      </c>
      <c r="F10" s="72">
        <v>0</v>
      </c>
      <c r="G10" s="66">
        <v>0</v>
      </c>
      <c r="H10" s="72">
        <v>0</v>
      </c>
      <c r="I10" s="66">
        <v>0</v>
      </c>
      <c r="J10" s="72">
        <v>0</v>
      </c>
      <c r="K10" s="66">
        <v>0</v>
      </c>
      <c r="L10" s="72">
        <v>0</v>
      </c>
      <c r="M10" s="66">
        <v>0</v>
      </c>
      <c r="N10" s="72">
        <v>0</v>
      </c>
      <c r="O10" s="66">
        <v>0</v>
      </c>
      <c r="P10" s="72">
        <v>0</v>
      </c>
      <c r="Q10" s="66">
        <v>0</v>
      </c>
      <c r="R10" s="72">
        <v>0</v>
      </c>
      <c r="S10" s="66">
        <v>0</v>
      </c>
      <c r="T10" s="72">
        <v>0</v>
      </c>
      <c r="U10" s="66">
        <v>0</v>
      </c>
      <c r="V10" s="72">
        <v>0</v>
      </c>
      <c r="W10" s="66">
        <v>0</v>
      </c>
      <c r="X10" s="72">
        <v>0</v>
      </c>
      <c r="Y10" s="66">
        <v>0</v>
      </c>
      <c r="Z10" s="72">
        <v>0</v>
      </c>
      <c r="AA10" s="66">
        <v>0</v>
      </c>
      <c r="AB10" s="72">
        <v>0</v>
      </c>
      <c r="AC10" s="7">
        <f t="shared" ref="AC10:AC14" si="3">SUM(E10+G10+I10+K10+M10+O10+Q10+S10+U10+W10+Y10+AA10)</f>
        <v>0</v>
      </c>
      <c r="AD10" s="7">
        <v>0</v>
      </c>
      <c r="AE10" s="64">
        <v>0</v>
      </c>
      <c r="AF10" s="7">
        <v>2373</v>
      </c>
      <c r="AG10" s="64">
        <v>9.5681741480272743E-4</v>
      </c>
      <c r="AH10" s="7">
        <v>0</v>
      </c>
      <c r="AI10" s="64">
        <v>0</v>
      </c>
      <c r="AJ10" s="5">
        <f t="shared" ref="AJ10:AJ15" si="4">SUM(AD10,AF10)</f>
        <v>2373</v>
      </c>
      <c r="AK10" s="40">
        <f t="shared" ref="AK10:AK15" si="5">SUM(AJ10,AC10)</f>
        <v>2373</v>
      </c>
      <c r="AL10" s="73" t="s">
        <v>281</v>
      </c>
      <c r="AM10" s="82" t="s">
        <v>204</v>
      </c>
      <c r="AN10" s="46" t="s">
        <v>204</v>
      </c>
      <c r="AO10" s="46"/>
      <c r="AP10" s="45" t="s">
        <v>183</v>
      </c>
      <c r="AQ10" s="51">
        <v>46068</v>
      </c>
      <c r="AR10" s="51">
        <v>46068</v>
      </c>
      <c r="AS10" s="71" t="str">
        <f t="shared" ref="AS10:AS15" si="6">"W"&amp;WEEKNUM(AR10,2)</f>
        <v>W7</v>
      </c>
    </row>
    <row r="11" spans="1:49" ht="16.5">
      <c r="A11" s="75" t="s">
        <v>197</v>
      </c>
      <c r="B11" s="84"/>
      <c r="C11" s="75" t="s">
        <v>198</v>
      </c>
      <c r="D11" s="75" t="s">
        <v>199</v>
      </c>
      <c r="E11" s="66">
        <v>0</v>
      </c>
      <c r="F11" s="72">
        <v>0</v>
      </c>
      <c r="G11" s="66">
        <v>0</v>
      </c>
      <c r="H11" s="72">
        <v>0</v>
      </c>
      <c r="I11" s="66">
        <v>0</v>
      </c>
      <c r="J11" s="72">
        <v>0</v>
      </c>
      <c r="K11" s="66">
        <v>0</v>
      </c>
      <c r="L11" s="72">
        <v>0</v>
      </c>
      <c r="M11" s="66">
        <v>0</v>
      </c>
      <c r="N11" s="72">
        <v>0</v>
      </c>
      <c r="O11" s="66">
        <v>0</v>
      </c>
      <c r="P11" s="72">
        <v>0</v>
      </c>
      <c r="Q11" s="66">
        <v>0</v>
      </c>
      <c r="R11" s="72">
        <v>0</v>
      </c>
      <c r="S11" s="66">
        <v>0</v>
      </c>
      <c r="T11" s="72">
        <v>0</v>
      </c>
      <c r="U11" s="66">
        <v>0</v>
      </c>
      <c r="V11" s="72">
        <v>0</v>
      </c>
      <c r="W11" s="66">
        <v>0</v>
      </c>
      <c r="X11" s="72">
        <v>0</v>
      </c>
      <c r="Y11" s="66">
        <v>0</v>
      </c>
      <c r="Z11" s="72">
        <v>0</v>
      </c>
      <c r="AA11" s="66">
        <v>0</v>
      </c>
      <c r="AB11" s="72">
        <v>0</v>
      </c>
      <c r="AC11" s="7">
        <f>SUM(E11+G11+I11+K11+M11+O11+Q11+S11+U11+W11+Y11+AA11)</f>
        <v>0</v>
      </c>
      <c r="AD11" s="7">
        <v>2382</v>
      </c>
      <c r="AE11" s="64">
        <v>8.0283222491705413E-4</v>
      </c>
      <c r="AF11" s="7">
        <v>0</v>
      </c>
      <c r="AG11" s="64">
        <v>0</v>
      </c>
      <c r="AH11" s="7">
        <v>0</v>
      </c>
      <c r="AI11" s="64">
        <v>0</v>
      </c>
      <c r="AJ11" s="5">
        <f>SUM(AD11,AF11)</f>
        <v>2382</v>
      </c>
      <c r="AK11" s="40">
        <f>SUM(AJ11,AC11)</f>
        <v>2382</v>
      </c>
      <c r="AL11" s="50" t="s">
        <v>265</v>
      </c>
      <c r="AM11" s="46" t="s">
        <v>225</v>
      </c>
      <c r="AN11" s="46" t="s">
        <v>226</v>
      </c>
      <c r="AO11" s="45"/>
      <c r="AP11" s="45" t="s">
        <v>183</v>
      </c>
      <c r="AQ11" s="51">
        <v>46068</v>
      </c>
      <c r="AR11" s="51">
        <v>46068</v>
      </c>
      <c r="AS11" s="71" t="str">
        <f>"W"&amp;WEEKNUM(AR11,2)</f>
        <v>W7</v>
      </c>
    </row>
    <row r="12" spans="1:49" ht="33">
      <c r="A12" s="75" t="s">
        <v>253</v>
      </c>
      <c r="B12" s="84"/>
      <c r="C12" s="75" t="s">
        <v>254</v>
      </c>
      <c r="D12" s="75" t="s">
        <v>260</v>
      </c>
      <c r="E12" s="66"/>
      <c r="F12" s="72"/>
      <c r="G12" s="66"/>
      <c r="H12" s="72"/>
      <c r="I12" s="66"/>
      <c r="J12" s="72"/>
      <c r="K12" s="66"/>
      <c r="L12" s="72"/>
      <c r="M12" s="66"/>
      <c r="N12" s="72"/>
      <c r="O12" s="66"/>
      <c r="P12" s="72"/>
      <c r="Q12" s="66"/>
      <c r="R12" s="72"/>
      <c r="S12" s="66"/>
      <c r="T12" s="72"/>
      <c r="U12" s="66"/>
      <c r="V12" s="72"/>
      <c r="W12" s="66"/>
      <c r="X12" s="72"/>
      <c r="Y12" s="66"/>
      <c r="Z12" s="72"/>
      <c r="AA12" s="66"/>
      <c r="AB12" s="72"/>
      <c r="AC12" s="7"/>
      <c r="AD12" s="7"/>
      <c r="AE12" s="64"/>
      <c r="AF12" s="7"/>
      <c r="AG12" s="64"/>
      <c r="AH12" s="7"/>
      <c r="AI12" s="64"/>
      <c r="AJ12" s="5"/>
      <c r="AK12" s="40">
        <v>1900</v>
      </c>
      <c r="AL12" s="50" t="s">
        <v>285</v>
      </c>
      <c r="AM12" s="46" t="s">
        <v>256</v>
      </c>
      <c r="AN12" s="46" t="s">
        <v>257</v>
      </c>
      <c r="AO12" s="45"/>
      <c r="AP12" s="45" t="s">
        <v>183</v>
      </c>
      <c r="AQ12" s="51"/>
      <c r="AR12" s="51"/>
      <c r="AS12" s="71"/>
    </row>
    <row r="13" spans="1:49" ht="33">
      <c r="A13" s="75" t="s">
        <v>246</v>
      </c>
      <c r="B13" s="84"/>
      <c r="C13" s="75" t="s">
        <v>247</v>
      </c>
      <c r="D13" s="75" t="s">
        <v>248</v>
      </c>
      <c r="E13" s="66"/>
      <c r="F13" s="72"/>
      <c r="G13" s="66"/>
      <c r="H13" s="72"/>
      <c r="I13" s="66"/>
      <c r="J13" s="72"/>
      <c r="K13" s="66"/>
      <c r="L13" s="72"/>
      <c r="M13" s="66"/>
      <c r="N13" s="72"/>
      <c r="O13" s="66"/>
      <c r="P13" s="72"/>
      <c r="Q13" s="66"/>
      <c r="R13" s="72"/>
      <c r="S13" s="66"/>
      <c r="T13" s="72"/>
      <c r="U13" s="66"/>
      <c r="V13" s="72"/>
      <c r="W13" s="66"/>
      <c r="X13" s="72"/>
      <c r="Y13" s="66"/>
      <c r="Z13" s="72"/>
      <c r="AA13" s="66"/>
      <c r="AB13" s="72"/>
      <c r="AC13" s="7"/>
      <c r="AD13" s="7"/>
      <c r="AE13" s="64"/>
      <c r="AF13" s="7"/>
      <c r="AG13" s="64"/>
      <c r="AH13" s="7"/>
      <c r="AI13" s="64"/>
      <c r="AJ13" s="5"/>
      <c r="AK13" s="40">
        <v>1900</v>
      </c>
      <c r="AL13" s="50" t="s">
        <v>286</v>
      </c>
      <c r="AM13" s="46" t="s">
        <v>249</v>
      </c>
      <c r="AN13" s="46" t="s">
        <v>250</v>
      </c>
      <c r="AO13" s="45"/>
      <c r="AP13" s="45" t="s">
        <v>183</v>
      </c>
      <c r="AQ13" s="51"/>
      <c r="AR13" s="51"/>
      <c r="AS13" s="71"/>
    </row>
    <row r="14" spans="1:49" ht="16.5">
      <c r="A14" s="75" t="s">
        <v>170</v>
      </c>
      <c r="B14" s="84"/>
      <c r="C14" s="75" t="s">
        <v>171</v>
      </c>
      <c r="D14" s="75" t="s">
        <v>172</v>
      </c>
      <c r="E14" s="66">
        <v>0</v>
      </c>
      <c r="F14" s="72">
        <v>0</v>
      </c>
      <c r="G14" s="66">
        <v>0</v>
      </c>
      <c r="H14" s="72">
        <v>0</v>
      </c>
      <c r="I14" s="66">
        <v>0</v>
      </c>
      <c r="J14" s="72">
        <v>0</v>
      </c>
      <c r="K14" s="66">
        <v>0</v>
      </c>
      <c r="L14" s="72">
        <v>0</v>
      </c>
      <c r="M14" s="66">
        <v>0</v>
      </c>
      <c r="N14" s="72">
        <v>0</v>
      </c>
      <c r="O14" s="66">
        <v>0</v>
      </c>
      <c r="P14" s="72">
        <v>0</v>
      </c>
      <c r="Q14" s="66">
        <v>0</v>
      </c>
      <c r="R14" s="72">
        <v>0</v>
      </c>
      <c r="S14" s="66">
        <v>0</v>
      </c>
      <c r="T14" s="72">
        <v>0</v>
      </c>
      <c r="U14" s="66">
        <v>0</v>
      </c>
      <c r="V14" s="72">
        <v>0</v>
      </c>
      <c r="W14" s="66">
        <v>0</v>
      </c>
      <c r="X14" s="72">
        <v>0</v>
      </c>
      <c r="Y14" s="66">
        <v>0</v>
      </c>
      <c r="Z14" s="72">
        <v>0</v>
      </c>
      <c r="AA14" s="7">
        <v>1077</v>
      </c>
      <c r="AB14" s="8">
        <v>3.0309366607408152E-4</v>
      </c>
      <c r="AC14" s="7">
        <f t="shared" si="3"/>
        <v>1077</v>
      </c>
      <c r="AD14" s="7">
        <v>0</v>
      </c>
      <c r="AE14" s="64">
        <v>0</v>
      </c>
      <c r="AF14" s="7">
        <v>0</v>
      </c>
      <c r="AG14" s="64">
        <v>0</v>
      </c>
      <c r="AH14" s="7">
        <v>0</v>
      </c>
      <c r="AI14" s="64">
        <v>0</v>
      </c>
      <c r="AJ14" s="5">
        <f t="shared" si="4"/>
        <v>0</v>
      </c>
      <c r="AK14" s="40">
        <f t="shared" si="5"/>
        <v>1077</v>
      </c>
      <c r="AL14" s="73" t="s">
        <v>261</v>
      </c>
      <c r="AM14" s="80" t="s">
        <v>273</v>
      </c>
      <c r="AN14" s="46" t="s">
        <v>191</v>
      </c>
      <c r="AO14" s="46" t="s">
        <v>157</v>
      </c>
      <c r="AP14" s="45" t="s">
        <v>183</v>
      </c>
      <c r="AQ14" s="51">
        <v>46037</v>
      </c>
      <c r="AR14" s="51">
        <v>46037</v>
      </c>
      <c r="AS14" s="71" t="str">
        <f t="shared" si="6"/>
        <v>W3</v>
      </c>
    </row>
    <row r="15" spans="1:49" ht="14.25" customHeight="1">
      <c r="A15" s="75" t="s">
        <v>15</v>
      </c>
      <c r="B15" s="84"/>
      <c r="C15" s="75" t="s">
        <v>6</v>
      </c>
      <c r="D15" s="75" t="s">
        <v>16</v>
      </c>
      <c r="E15" s="66">
        <v>0</v>
      </c>
      <c r="F15" s="72">
        <v>0</v>
      </c>
      <c r="G15" s="66">
        <v>0</v>
      </c>
      <c r="H15" s="72">
        <v>0</v>
      </c>
      <c r="I15" s="66">
        <v>0</v>
      </c>
      <c r="J15" s="72">
        <v>0</v>
      </c>
      <c r="K15" s="66">
        <v>0</v>
      </c>
      <c r="L15" s="72">
        <v>0</v>
      </c>
      <c r="M15" s="66">
        <v>0</v>
      </c>
      <c r="N15" s="72">
        <v>0</v>
      </c>
      <c r="O15" s="7">
        <v>236</v>
      </c>
      <c r="P15" s="8">
        <v>3.0058486682562003E-4</v>
      </c>
      <c r="Q15" s="66">
        <v>189</v>
      </c>
      <c r="R15" s="72">
        <v>1.1994181869873916E-4</v>
      </c>
      <c r="S15" s="7">
        <v>0</v>
      </c>
      <c r="T15" s="72">
        <v>0</v>
      </c>
      <c r="U15" s="7">
        <v>0</v>
      </c>
      <c r="V15" s="72">
        <v>0</v>
      </c>
      <c r="W15" s="7">
        <v>0</v>
      </c>
      <c r="X15" s="72">
        <v>0</v>
      </c>
      <c r="Y15" s="7">
        <v>0</v>
      </c>
      <c r="Z15" s="72">
        <v>0</v>
      </c>
      <c r="AA15" s="7">
        <v>0</v>
      </c>
      <c r="AB15" s="72">
        <v>0</v>
      </c>
      <c r="AC15" s="7">
        <f t="shared" ref="AC15:AC22" si="7">SUM(E15+G15+I15+K15+M15+O15+Q15+S15+U15+W15+Y15+AA15)</f>
        <v>425</v>
      </c>
      <c r="AD15" s="7">
        <v>0</v>
      </c>
      <c r="AE15" s="64">
        <v>0</v>
      </c>
      <c r="AF15" s="7">
        <v>0</v>
      </c>
      <c r="AG15" s="64">
        <v>0</v>
      </c>
      <c r="AH15" s="7">
        <v>0</v>
      </c>
      <c r="AI15" s="64">
        <v>0</v>
      </c>
      <c r="AJ15" s="5">
        <f t="shared" si="4"/>
        <v>0</v>
      </c>
      <c r="AK15" s="40">
        <f t="shared" si="5"/>
        <v>425</v>
      </c>
      <c r="AL15" s="79" t="s">
        <v>262</v>
      </c>
      <c r="AM15" s="80" t="s">
        <v>223</v>
      </c>
      <c r="AN15" s="46" t="s">
        <v>224</v>
      </c>
      <c r="AO15" s="45" t="s">
        <v>159</v>
      </c>
      <c r="AP15" s="45" t="s">
        <v>183</v>
      </c>
      <c r="AQ15" s="51">
        <v>46101</v>
      </c>
      <c r="AR15" s="51">
        <v>46101</v>
      </c>
      <c r="AS15" s="71" t="str">
        <f t="shared" si="6"/>
        <v>W12</v>
      </c>
    </row>
    <row r="16" spans="1:49" ht="16.5">
      <c r="A16" s="75" t="s">
        <v>206</v>
      </c>
      <c r="B16" s="84" t="s">
        <v>185</v>
      </c>
      <c r="C16" s="75" t="s">
        <v>205</v>
      </c>
      <c r="D16" s="75" t="s">
        <v>203</v>
      </c>
      <c r="E16" s="66">
        <v>0</v>
      </c>
      <c r="F16" s="72">
        <v>0</v>
      </c>
      <c r="G16" s="66">
        <v>0</v>
      </c>
      <c r="H16" s="72">
        <v>0</v>
      </c>
      <c r="I16" s="66">
        <v>0</v>
      </c>
      <c r="J16" s="72">
        <v>0</v>
      </c>
      <c r="K16" s="66">
        <v>0</v>
      </c>
      <c r="L16" s="72">
        <v>0</v>
      </c>
      <c r="M16" s="66">
        <v>0</v>
      </c>
      <c r="N16" s="72">
        <v>0</v>
      </c>
      <c r="O16" s="66">
        <v>0</v>
      </c>
      <c r="P16" s="72">
        <v>0</v>
      </c>
      <c r="Q16" s="66">
        <v>0</v>
      </c>
      <c r="R16" s="72">
        <v>0</v>
      </c>
      <c r="S16" s="66">
        <v>0</v>
      </c>
      <c r="T16" s="72">
        <v>0</v>
      </c>
      <c r="U16" s="66">
        <v>0</v>
      </c>
      <c r="V16" s="72">
        <v>0</v>
      </c>
      <c r="W16" s="66">
        <v>0</v>
      </c>
      <c r="X16" s="72">
        <v>0</v>
      </c>
      <c r="Y16" s="66">
        <v>0</v>
      </c>
      <c r="Z16" s="72">
        <v>0</v>
      </c>
      <c r="AA16" s="66">
        <v>0</v>
      </c>
      <c r="AB16" s="72">
        <v>0</v>
      </c>
      <c r="AC16" s="7">
        <f>SUM(E16+G16+I16+K16+M16+O16+Q16+S16+U16+W16+Y16+AA16)</f>
        <v>0</v>
      </c>
      <c r="AD16" s="7">
        <v>0</v>
      </c>
      <c r="AE16" s="64">
        <v>0</v>
      </c>
      <c r="AF16" s="7">
        <v>0</v>
      </c>
      <c r="AG16" s="64">
        <v>0</v>
      </c>
      <c r="AH16" s="7">
        <v>0</v>
      </c>
      <c r="AI16" s="64">
        <v>0</v>
      </c>
      <c r="AJ16" s="5">
        <v>14250</v>
      </c>
      <c r="AK16" s="40">
        <v>14250</v>
      </c>
      <c r="AL16" s="50" t="s">
        <v>280</v>
      </c>
      <c r="AM16" s="80" t="s">
        <v>204</v>
      </c>
      <c r="AN16" s="46" t="s">
        <v>204</v>
      </c>
      <c r="AO16" s="46"/>
      <c r="AP16" s="45" t="s">
        <v>183</v>
      </c>
      <c r="AQ16" s="51">
        <v>46068</v>
      </c>
      <c r="AR16" s="51">
        <v>46068</v>
      </c>
      <c r="AS16" s="71" t="str">
        <f>"W"&amp;WEEKNUM(AR16,2)</f>
        <v>W7</v>
      </c>
    </row>
    <row r="17" spans="1:45" ht="23.25" customHeight="1">
      <c r="A17" s="75" t="s">
        <v>213</v>
      </c>
      <c r="B17" s="84"/>
      <c r="C17" s="75" t="s">
        <v>214</v>
      </c>
      <c r="D17" s="75" t="s">
        <v>203</v>
      </c>
      <c r="E17" s="66">
        <v>0</v>
      </c>
      <c r="F17" s="72">
        <v>0</v>
      </c>
      <c r="G17" s="66">
        <v>0</v>
      </c>
      <c r="H17" s="72">
        <v>0</v>
      </c>
      <c r="I17" s="66">
        <v>0</v>
      </c>
      <c r="J17" s="72">
        <v>0</v>
      </c>
      <c r="K17" s="66">
        <v>0</v>
      </c>
      <c r="L17" s="72">
        <v>0</v>
      </c>
      <c r="M17" s="66">
        <v>0</v>
      </c>
      <c r="N17" s="72">
        <v>0</v>
      </c>
      <c r="O17" s="66">
        <v>0</v>
      </c>
      <c r="P17" s="72">
        <v>0</v>
      </c>
      <c r="Q17" s="66">
        <v>0</v>
      </c>
      <c r="R17" s="72">
        <v>0</v>
      </c>
      <c r="S17" s="66">
        <v>0</v>
      </c>
      <c r="T17" s="72">
        <v>0</v>
      </c>
      <c r="U17" s="66">
        <v>0</v>
      </c>
      <c r="V17" s="72">
        <v>0</v>
      </c>
      <c r="W17" s="66">
        <v>0</v>
      </c>
      <c r="X17" s="72">
        <v>0</v>
      </c>
      <c r="Y17" s="66">
        <v>0</v>
      </c>
      <c r="Z17" s="72">
        <v>0</v>
      </c>
      <c r="AA17" s="66">
        <v>0</v>
      </c>
      <c r="AB17" s="72">
        <v>0</v>
      </c>
      <c r="AC17" s="7">
        <f t="shared" si="7"/>
        <v>0</v>
      </c>
      <c r="AD17" s="7">
        <v>0</v>
      </c>
      <c r="AE17" s="64">
        <v>0</v>
      </c>
      <c r="AF17" s="7">
        <v>13992</v>
      </c>
      <c r="AG17" s="64">
        <v>5.6417148200251848E-3</v>
      </c>
      <c r="AH17" s="7">
        <v>0</v>
      </c>
      <c r="AI17" s="64">
        <v>0</v>
      </c>
      <c r="AJ17" s="5">
        <f>SUM(AD17,AF17)</f>
        <v>13992</v>
      </c>
      <c r="AK17" s="40">
        <f>SUM(AJ17,AC17)</f>
        <v>13992</v>
      </c>
      <c r="AL17" s="50" t="s">
        <v>243</v>
      </c>
      <c r="AM17" s="80" t="s">
        <v>204</v>
      </c>
      <c r="AN17" s="46" t="s">
        <v>204</v>
      </c>
      <c r="AO17" s="46"/>
      <c r="AP17" s="45" t="s">
        <v>183</v>
      </c>
      <c r="AQ17" s="51">
        <v>46068</v>
      </c>
      <c r="AR17" s="51">
        <v>46068</v>
      </c>
      <c r="AS17" s="71" t="str">
        <f t="shared" ref="AS17:AS22" si="8">"W"&amp;WEEKNUM(AR17,2)</f>
        <v>W7</v>
      </c>
    </row>
    <row r="18" spans="1:45" ht="16.5">
      <c r="A18" s="62" t="s">
        <v>216</v>
      </c>
      <c r="B18" s="84"/>
      <c r="C18" s="75" t="s">
        <v>205</v>
      </c>
      <c r="D18" s="75" t="s">
        <v>203</v>
      </c>
      <c r="E18" s="66">
        <v>0</v>
      </c>
      <c r="F18" s="72">
        <v>0</v>
      </c>
      <c r="G18" s="66">
        <v>0</v>
      </c>
      <c r="H18" s="72">
        <v>0</v>
      </c>
      <c r="I18" s="66">
        <v>0</v>
      </c>
      <c r="J18" s="72">
        <v>0</v>
      </c>
      <c r="K18" s="66">
        <v>0</v>
      </c>
      <c r="L18" s="72">
        <v>0</v>
      </c>
      <c r="M18" s="66">
        <v>0</v>
      </c>
      <c r="N18" s="72">
        <v>0</v>
      </c>
      <c r="O18" s="66">
        <v>0</v>
      </c>
      <c r="P18" s="72">
        <v>0</v>
      </c>
      <c r="Q18" s="66">
        <v>0</v>
      </c>
      <c r="R18" s="72">
        <v>0</v>
      </c>
      <c r="S18" s="66">
        <v>0</v>
      </c>
      <c r="T18" s="72">
        <v>0</v>
      </c>
      <c r="U18" s="66">
        <v>0</v>
      </c>
      <c r="V18" s="72">
        <v>0</v>
      </c>
      <c r="W18" s="66">
        <v>0</v>
      </c>
      <c r="X18" s="72">
        <v>0</v>
      </c>
      <c r="Y18" s="66">
        <v>0</v>
      </c>
      <c r="Z18" s="72">
        <v>0</v>
      </c>
      <c r="AA18" s="66">
        <v>0</v>
      </c>
      <c r="AB18" s="72">
        <v>0</v>
      </c>
      <c r="AC18" s="7">
        <f t="shared" si="7"/>
        <v>0</v>
      </c>
      <c r="AD18" s="7">
        <v>0</v>
      </c>
      <c r="AE18" s="64">
        <v>0</v>
      </c>
      <c r="AF18" s="7">
        <v>5424</v>
      </c>
      <c r="AG18" s="64">
        <v>2.1870112338348057E-3</v>
      </c>
      <c r="AH18" s="7">
        <v>0</v>
      </c>
      <c r="AI18" s="64">
        <v>0</v>
      </c>
      <c r="AJ18" s="5">
        <f>SUM(AD18,AF18)</f>
        <v>5424</v>
      </c>
      <c r="AK18" s="40">
        <f>SUM(AJ18,AC18)</f>
        <v>5424</v>
      </c>
      <c r="AL18" s="50" t="s">
        <v>278</v>
      </c>
      <c r="AM18" s="80" t="s">
        <v>204</v>
      </c>
      <c r="AN18" s="46" t="s">
        <v>235</v>
      </c>
      <c r="AO18" s="46"/>
      <c r="AP18" s="45" t="s">
        <v>183</v>
      </c>
      <c r="AQ18" s="51">
        <v>46068</v>
      </c>
      <c r="AR18" s="51">
        <v>46068</v>
      </c>
      <c r="AS18" s="71" t="str">
        <f t="shared" si="8"/>
        <v>W7</v>
      </c>
    </row>
    <row r="19" spans="1:45" ht="16.5">
      <c r="A19" s="62" t="s">
        <v>173</v>
      </c>
      <c r="B19" s="84"/>
      <c r="C19" s="75" t="s">
        <v>186</v>
      </c>
      <c r="D19" s="75" t="s">
        <v>203</v>
      </c>
      <c r="E19" s="66">
        <v>0</v>
      </c>
      <c r="F19" s="72">
        <v>0</v>
      </c>
      <c r="G19" s="66">
        <v>0</v>
      </c>
      <c r="H19" s="72">
        <v>0</v>
      </c>
      <c r="I19" s="66">
        <v>0</v>
      </c>
      <c r="J19" s="72">
        <v>0</v>
      </c>
      <c r="K19" s="66">
        <v>0</v>
      </c>
      <c r="L19" s="72">
        <v>0</v>
      </c>
      <c r="M19" s="66">
        <v>0</v>
      </c>
      <c r="N19" s="72">
        <v>0</v>
      </c>
      <c r="O19" s="66">
        <v>0</v>
      </c>
      <c r="P19" s="72">
        <v>0</v>
      </c>
      <c r="Q19" s="66">
        <v>0</v>
      </c>
      <c r="R19" s="72">
        <v>0</v>
      </c>
      <c r="S19" s="66">
        <v>0</v>
      </c>
      <c r="T19" s="72">
        <v>0</v>
      </c>
      <c r="U19" s="66">
        <v>0</v>
      </c>
      <c r="V19" s="72">
        <v>0</v>
      </c>
      <c r="W19" s="66">
        <v>0</v>
      </c>
      <c r="X19" s="72">
        <v>0</v>
      </c>
      <c r="Y19" s="66">
        <v>0</v>
      </c>
      <c r="Z19" s="72">
        <v>0</v>
      </c>
      <c r="AA19" s="66">
        <v>0</v>
      </c>
      <c r="AB19" s="72">
        <v>0</v>
      </c>
      <c r="AC19" s="7">
        <f t="shared" si="7"/>
        <v>0</v>
      </c>
      <c r="AD19" s="7">
        <v>5071</v>
      </c>
      <c r="AE19" s="64">
        <v>1.7091361093847109E-3</v>
      </c>
      <c r="AF19" s="7">
        <v>0</v>
      </c>
      <c r="AG19" s="64">
        <v>0</v>
      </c>
      <c r="AH19" s="7">
        <v>0</v>
      </c>
      <c r="AI19" s="64">
        <v>0</v>
      </c>
      <c r="AJ19" s="5">
        <f>SUM(AD19,AF19)</f>
        <v>5071</v>
      </c>
      <c r="AK19" s="40">
        <f>SUM(AJ19,AC19)</f>
        <v>5071</v>
      </c>
      <c r="AL19" s="50" t="s">
        <v>242</v>
      </c>
      <c r="AM19" s="45" t="s">
        <v>233</v>
      </c>
      <c r="AN19" s="45" t="s">
        <v>187</v>
      </c>
      <c r="AO19" s="46" t="s">
        <v>165</v>
      </c>
      <c r="AP19" s="45" t="s">
        <v>183</v>
      </c>
      <c r="AQ19" s="52">
        <v>46080</v>
      </c>
      <c r="AR19" s="52">
        <v>46080</v>
      </c>
      <c r="AS19" s="71" t="str">
        <f t="shared" si="8"/>
        <v>W9</v>
      </c>
    </row>
    <row r="20" spans="1:45" ht="33">
      <c r="A20" s="62" t="s">
        <v>179</v>
      </c>
      <c r="B20" s="84"/>
      <c r="C20" s="75" t="s">
        <v>180</v>
      </c>
      <c r="D20" s="75" t="s">
        <v>200</v>
      </c>
      <c r="E20" s="66">
        <v>0</v>
      </c>
      <c r="F20" s="72">
        <v>0</v>
      </c>
      <c r="G20" s="66">
        <v>0</v>
      </c>
      <c r="H20" s="72">
        <v>0</v>
      </c>
      <c r="I20" s="66">
        <v>0</v>
      </c>
      <c r="J20" s="72">
        <v>0</v>
      </c>
      <c r="K20" s="66">
        <v>0</v>
      </c>
      <c r="L20" s="72">
        <v>0</v>
      </c>
      <c r="M20" s="66">
        <v>0</v>
      </c>
      <c r="N20" s="72">
        <v>0</v>
      </c>
      <c r="O20" s="66">
        <v>0</v>
      </c>
      <c r="P20" s="72">
        <v>0</v>
      </c>
      <c r="Q20" s="66">
        <v>0</v>
      </c>
      <c r="R20" s="72">
        <v>0</v>
      </c>
      <c r="S20" s="66">
        <v>0</v>
      </c>
      <c r="T20" s="72">
        <v>0</v>
      </c>
      <c r="U20" s="66">
        <v>0</v>
      </c>
      <c r="V20" s="72">
        <v>0</v>
      </c>
      <c r="W20" s="66">
        <v>0</v>
      </c>
      <c r="X20" s="72">
        <v>0</v>
      </c>
      <c r="Y20" s="66">
        <v>0</v>
      </c>
      <c r="Z20" s="72">
        <v>0</v>
      </c>
      <c r="AA20" s="66">
        <v>0</v>
      </c>
      <c r="AB20" s="72">
        <v>0</v>
      </c>
      <c r="AC20" s="7">
        <f t="shared" si="7"/>
        <v>0</v>
      </c>
      <c r="AD20" s="7">
        <v>0</v>
      </c>
      <c r="AE20" s="64">
        <v>0</v>
      </c>
      <c r="AF20" s="7">
        <v>0</v>
      </c>
      <c r="AG20" s="64">
        <v>0</v>
      </c>
      <c r="AH20" s="7">
        <v>0</v>
      </c>
      <c r="AI20" s="64">
        <v>0</v>
      </c>
      <c r="AJ20" s="40">
        <v>4980</v>
      </c>
      <c r="AK20" s="40">
        <v>4980</v>
      </c>
      <c r="AL20" s="50" t="s">
        <v>291</v>
      </c>
      <c r="AM20" s="45" t="s">
        <v>290</v>
      </c>
      <c r="AN20" s="45" t="s">
        <v>190</v>
      </c>
      <c r="AO20" s="46" t="s">
        <v>181</v>
      </c>
      <c r="AP20" s="45" t="s">
        <v>183</v>
      </c>
      <c r="AQ20" s="52">
        <v>46056</v>
      </c>
      <c r="AR20" s="52">
        <v>46056</v>
      </c>
      <c r="AS20" s="71" t="str">
        <f t="shared" si="8"/>
        <v>W6</v>
      </c>
    </row>
    <row r="21" spans="1:45" ht="16.5">
      <c r="A21" s="62" t="s">
        <v>209</v>
      </c>
      <c r="B21" s="84"/>
      <c r="C21" s="75" t="s">
        <v>210</v>
      </c>
      <c r="D21" s="75" t="s">
        <v>245</v>
      </c>
      <c r="E21" s="66">
        <v>0</v>
      </c>
      <c r="F21" s="72">
        <v>0</v>
      </c>
      <c r="G21" s="66">
        <v>0</v>
      </c>
      <c r="H21" s="72">
        <v>0</v>
      </c>
      <c r="I21" s="66">
        <v>0</v>
      </c>
      <c r="J21" s="72">
        <v>0</v>
      </c>
      <c r="K21" s="66">
        <v>0</v>
      </c>
      <c r="L21" s="72">
        <v>0</v>
      </c>
      <c r="M21" s="66">
        <v>0</v>
      </c>
      <c r="N21" s="72">
        <v>0</v>
      </c>
      <c r="O21" s="66">
        <v>0</v>
      </c>
      <c r="P21" s="72">
        <v>0</v>
      </c>
      <c r="Q21" s="66">
        <v>0</v>
      </c>
      <c r="R21" s="72">
        <v>0</v>
      </c>
      <c r="S21" s="66">
        <v>0</v>
      </c>
      <c r="T21" s="72">
        <v>0</v>
      </c>
      <c r="U21" s="66">
        <v>0</v>
      </c>
      <c r="V21" s="72">
        <v>0</v>
      </c>
      <c r="W21" s="66">
        <v>0</v>
      </c>
      <c r="X21" s="72">
        <v>0</v>
      </c>
      <c r="Y21" s="66">
        <v>0</v>
      </c>
      <c r="Z21" s="72">
        <v>0</v>
      </c>
      <c r="AA21" s="66">
        <v>0</v>
      </c>
      <c r="AB21" s="72">
        <v>0</v>
      </c>
      <c r="AC21" s="7">
        <f t="shared" si="7"/>
        <v>0</v>
      </c>
      <c r="AD21" s="7">
        <v>0</v>
      </c>
      <c r="AE21" s="64">
        <v>0</v>
      </c>
      <c r="AF21" s="7">
        <v>4445</v>
      </c>
      <c r="AG21" s="64">
        <v>1.7922686088487668E-3</v>
      </c>
      <c r="AH21" s="7">
        <v>17</v>
      </c>
      <c r="AI21" s="64">
        <v>2.8363777120776298E-5</v>
      </c>
      <c r="AJ21" s="5">
        <f>SUM(AD21,AF21)</f>
        <v>4445</v>
      </c>
      <c r="AK21" s="40">
        <f>SUM(AJ21,AC21)</f>
        <v>4445</v>
      </c>
      <c r="AL21" s="50" t="s">
        <v>279</v>
      </c>
      <c r="AM21" s="80" t="s">
        <v>204</v>
      </c>
      <c r="AN21" s="46" t="s">
        <v>227</v>
      </c>
      <c r="AO21" s="46"/>
      <c r="AP21" s="45" t="s">
        <v>183</v>
      </c>
      <c r="AQ21" s="51">
        <v>46068</v>
      </c>
      <c r="AR21" s="51">
        <v>46068</v>
      </c>
      <c r="AS21" s="71" t="str">
        <f t="shared" si="8"/>
        <v>W7</v>
      </c>
    </row>
    <row r="22" spans="1:45" ht="16.5">
      <c r="A22" s="62" t="s">
        <v>244</v>
      </c>
      <c r="B22" s="84"/>
      <c r="C22" s="75" t="s">
        <v>174</v>
      </c>
      <c r="D22" s="75" t="s">
        <v>195</v>
      </c>
      <c r="E22" s="66">
        <v>0</v>
      </c>
      <c r="F22" s="72">
        <v>0</v>
      </c>
      <c r="G22" s="66">
        <v>0</v>
      </c>
      <c r="H22" s="72">
        <v>0</v>
      </c>
      <c r="I22" s="42">
        <v>0</v>
      </c>
      <c r="J22" s="37">
        <v>0</v>
      </c>
      <c r="K22" s="7">
        <v>0</v>
      </c>
      <c r="L22" s="37">
        <v>0</v>
      </c>
      <c r="M22" s="5">
        <v>0</v>
      </c>
      <c r="N22" s="39">
        <v>0</v>
      </c>
      <c r="O22" s="5">
        <v>0</v>
      </c>
      <c r="P22" s="39">
        <v>0</v>
      </c>
      <c r="Q22" s="5">
        <v>0</v>
      </c>
      <c r="R22" s="39">
        <v>0</v>
      </c>
      <c r="S22" s="5">
        <v>0</v>
      </c>
      <c r="T22" s="39">
        <v>0</v>
      </c>
      <c r="U22" s="7">
        <v>0</v>
      </c>
      <c r="V22" s="8">
        <v>0</v>
      </c>
      <c r="W22" s="7">
        <v>0</v>
      </c>
      <c r="X22" s="8">
        <v>0</v>
      </c>
      <c r="Y22" s="7">
        <v>0</v>
      </c>
      <c r="Z22" s="8">
        <v>0</v>
      </c>
      <c r="AA22" s="43">
        <v>2212</v>
      </c>
      <c r="AB22" s="8">
        <v>6.2250992512151188E-4</v>
      </c>
      <c r="AC22" s="7">
        <f t="shared" si="7"/>
        <v>2212</v>
      </c>
      <c r="AD22" s="7">
        <v>105</v>
      </c>
      <c r="AE22" s="64">
        <v>3.538932981372405E-5</v>
      </c>
      <c r="AF22" s="7">
        <v>0</v>
      </c>
      <c r="AG22" s="64">
        <v>0</v>
      </c>
      <c r="AH22" s="7">
        <v>0</v>
      </c>
      <c r="AI22" s="64">
        <v>0</v>
      </c>
      <c r="AJ22" s="5">
        <f>SUM(AD22,AF22)</f>
        <v>105</v>
      </c>
      <c r="AK22" s="40">
        <f>SUM(AJ22,AC22)</f>
        <v>2317</v>
      </c>
      <c r="AL22" s="50" t="s">
        <v>266</v>
      </c>
      <c r="AM22" s="45" t="s">
        <v>234</v>
      </c>
      <c r="AN22" s="45" t="s">
        <v>189</v>
      </c>
      <c r="AO22" s="46" t="s">
        <v>184</v>
      </c>
      <c r="AP22" s="45" t="s">
        <v>183</v>
      </c>
      <c r="AQ22" s="52">
        <v>46080</v>
      </c>
      <c r="AR22" s="52">
        <v>46080</v>
      </c>
      <c r="AS22" s="71" t="str">
        <f t="shared" si="8"/>
        <v>W9</v>
      </c>
    </row>
    <row r="23" spans="1:45" ht="16.5">
      <c r="A23" s="63" t="s">
        <v>161</v>
      </c>
      <c r="B23" s="84"/>
      <c r="C23" s="69" t="s">
        <v>162</v>
      </c>
      <c r="D23" s="69" t="s">
        <v>196</v>
      </c>
      <c r="E23" s="66">
        <v>0</v>
      </c>
      <c r="F23" s="72">
        <v>0</v>
      </c>
      <c r="G23" s="66">
        <v>0</v>
      </c>
      <c r="H23" s="72">
        <v>0</v>
      </c>
      <c r="I23" s="42">
        <v>0</v>
      </c>
      <c r="J23" s="37">
        <v>0</v>
      </c>
      <c r="K23" s="7">
        <v>0</v>
      </c>
      <c r="L23" s="37">
        <v>0</v>
      </c>
      <c r="M23" s="5">
        <v>0</v>
      </c>
      <c r="N23" s="39">
        <v>0</v>
      </c>
      <c r="O23" s="5">
        <v>0</v>
      </c>
      <c r="P23" s="39">
        <v>0</v>
      </c>
      <c r="Q23" s="5">
        <v>0</v>
      </c>
      <c r="R23" s="39">
        <v>0</v>
      </c>
      <c r="S23" s="5">
        <v>0</v>
      </c>
      <c r="T23" s="39">
        <v>0</v>
      </c>
      <c r="U23" s="7">
        <v>1564</v>
      </c>
      <c r="V23" s="72">
        <v>5.545403165701894E-4</v>
      </c>
      <c r="W23" s="7">
        <v>0</v>
      </c>
      <c r="X23" s="72">
        <v>0</v>
      </c>
      <c r="Y23" s="40">
        <v>0</v>
      </c>
      <c r="Z23" s="72">
        <v>0</v>
      </c>
      <c r="AA23" s="40">
        <v>0</v>
      </c>
      <c r="AB23" s="72">
        <v>0</v>
      </c>
      <c r="AC23" s="7">
        <f>SUM(E23+G23+I23+K23+M23+O23+Q23+S23+U23+W23+Y23+AA23)</f>
        <v>1564</v>
      </c>
      <c r="AD23" s="7">
        <v>0</v>
      </c>
      <c r="AE23" s="64">
        <v>0</v>
      </c>
      <c r="AF23" s="7">
        <v>0</v>
      </c>
      <c r="AG23" s="64">
        <v>0</v>
      </c>
      <c r="AH23" s="7">
        <v>0</v>
      </c>
      <c r="AI23" s="64">
        <v>0</v>
      </c>
      <c r="AJ23" s="5">
        <f>SUM(AD23,AF23)</f>
        <v>0</v>
      </c>
      <c r="AK23" s="40">
        <f>SUM(AJ23,AC23)</f>
        <v>1564</v>
      </c>
      <c r="AL23" s="83" t="s">
        <v>272</v>
      </c>
      <c r="AM23" s="43" t="s">
        <v>236</v>
      </c>
      <c r="AN23" s="45" t="s">
        <v>188</v>
      </c>
      <c r="AO23" s="46" t="s">
        <v>163</v>
      </c>
      <c r="AP23" s="45" t="s">
        <v>183</v>
      </c>
      <c r="AQ23" s="51">
        <v>46087</v>
      </c>
      <c r="AR23" s="51">
        <v>46087</v>
      </c>
      <c r="AS23" s="71" t="str">
        <f>"W"&amp;WEEKNUM(AR23,2)</f>
        <v>W10</v>
      </c>
    </row>
    <row r="24" spans="1:45" ht="33">
      <c r="A24" s="62" t="s">
        <v>274</v>
      </c>
      <c r="B24" s="84"/>
      <c r="C24" s="75" t="s">
        <v>171</v>
      </c>
      <c r="D24" s="75" t="s">
        <v>275</v>
      </c>
      <c r="E24" s="66"/>
      <c r="F24" s="72"/>
      <c r="G24" s="66"/>
      <c r="H24" s="72"/>
      <c r="I24" s="42"/>
      <c r="J24" s="37"/>
      <c r="K24" s="7"/>
      <c r="L24" s="37"/>
      <c r="M24" s="5"/>
      <c r="N24" s="39"/>
      <c r="O24" s="5"/>
      <c r="P24" s="39"/>
      <c r="Q24" s="5"/>
      <c r="R24" s="39"/>
      <c r="S24" s="5"/>
      <c r="T24" s="39"/>
      <c r="U24" s="7"/>
      <c r="V24" s="8"/>
      <c r="W24" s="7"/>
      <c r="X24" s="8"/>
      <c r="Y24" s="7"/>
      <c r="Z24" s="8"/>
      <c r="AA24" s="43"/>
      <c r="AB24" s="8"/>
      <c r="AC24" s="7"/>
      <c r="AD24" s="7"/>
      <c r="AE24" s="64"/>
      <c r="AF24" s="7"/>
      <c r="AG24" s="64"/>
      <c r="AH24" s="7"/>
      <c r="AI24" s="64"/>
      <c r="AJ24" s="5"/>
      <c r="AK24" s="40">
        <v>950</v>
      </c>
      <c r="AL24" s="50" t="s">
        <v>289</v>
      </c>
      <c r="AM24" s="45" t="s">
        <v>276</v>
      </c>
      <c r="AN24" s="45" t="s">
        <v>277</v>
      </c>
      <c r="AO24" s="46"/>
      <c r="AP24" s="45"/>
      <c r="AQ24" s="52"/>
      <c r="AR24" s="52"/>
      <c r="AS24" s="71"/>
    </row>
    <row r="25" spans="1:45" ht="16.5">
      <c r="A25" s="75" t="s">
        <v>80</v>
      </c>
      <c r="B25" s="95" t="s">
        <v>201</v>
      </c>
      <c r="C25" s="75" t="s">
        <v>86</v>
      </c>
      <c r="D25" s="75" t="s">
        <v>164</v>
      </c>
      <c r="E25" s="7">
        <v>0</v>
      </c>
      <c r="F25" s="72">
        <v>0</v>
      </c>
      <c r="G25" s="7">
        <v>0</v>
      </c>
      <c r="H25" s="72">
        <v>0</v>
      </c>
      <c r="I25" s="7">
        <v>0</v>
      </c>
      <c r="J25" s="72">
        <v>0</v>
      </c>
      <c r="K25" s="7">
        <v>0</v>
      </c>
      <c r="L25" s="72">
        <v>0</v>
      </c>
      <c r="M25" s="7">
        <v>0</v>
      </c>
      <c r="N25" s="72">
        <v>0</v>
      </c>
      <c r="O25" s="7">
        <v>0</v>
      </c>
      <c r="P25" s="72">
        <v>0</v>
      </c>
      <c r="Q25" s="7">
        <v>0</v>
      </c>
      <c r="R25" s="8">
        <v>0</v>
      </c>
      <c r="S25" s="7">
        <v>0</v>
      </c>
      <c r="T25" s="72">
        <v>0</v>
      </c>
      <c r="U25" s="7">
        <v>327</v>
      </c>
      <c r="V25" s="72">
        <v>1.1594289227522503E-4</v>
      </c>
      <c r="W25" s="7">
        <v>268</v>
      </c>
      <c r="X25" s="72">
        <v>9.7060339298318942E-5</v>
      </c>
      <c r="Y25" s="7">
        <v>154</v>
      </c>
      <c r="Z25" s="72">
        <v>4.4076857445997982E-5</v>
      </c>
      <c r="AA25" s="43">
        <v>0</v>
      </c>
      <c r="AB25" s="72">
        <v>0</v>
      </c>
      <c r="AC25" s="7">
        <f>SUM(E25+G25+I25+K25+M25+O25+Q25+S25+U25+W25+Y25+AA25)</f>
        <v>749</v>
      </c>
      <c r="AD25" s="7">
        <v>13</v>
      </c>
      <c r="AE25" s="64">
        <v>4.3815360721753586E-6</v>
      </c>
      <c r="AF25" s="7">
        <v>0</v>
      </c>
      <c r="AG25" s="64">
        <v>0</v>
      </c>
      <c r="AH25" s="7">
        <v>0</v>
      </c>
      <c r="AI25" s="64">
        <v>0</v>
      </c>
      <c r="AJ25" s="5">
        <f>SUM(AD25,AF25)</f>
        <v>13</v>
      </c>
      <c r="AK25" s="40">
        <f>SUM(AJ25,AC25)</f>
        <v>762</v>
      </c>
      <c r="AL25" s="50" t="s">
        <v>264</v>
      </c>
      <c r="AM25" s="41" t="s">
        <v>238</v>
      </c>
      <c r="AN25" s="46" t="s">
        <v>226</v>
      </c>
      <c r="AO25" s="46" t="s">
        <v>156</v>
      </c>
      <c r="AP25" s="45" t="s">
        <v>183</v>
      </c>
      <c r="AQ25" s="51">
        <v>46078</v>
      </c>
      <c r="AR25" s="51">
        <v>46078</v>
      </c>
      <c r="AS25" s="71" t="str">
        <f>"W"&amp;WEEKNUM(AR25,2)</f>
        <v>W9</v>
      </c>
    </row>
    <row r="26" spans="1:45" ht="16.5">
      <c r="A26" s="75" t="s">
        <v>167</v>
      </c>
      <c r="B26" s="95"/>
      <c r="C26" s="75" t="s">
        <v>168</v>
      </c>
      <c r="D26" s="75" t="s">
        <v>175</v>
      </c>
      <c r="E26" s="5">
        <v>0</v>
      </c>
      <c r="F26" s="36">
        <v>0</v>
      </c>
      <c r="G26" s="5">
        <v>0</v>
      </c>
      <c r="H26" s="36">
        <v>0</v>
      </c>
      <c r="I26" s="5">
        <v>0</v>
      </c>
      <c r="J26" s="36">
        <v>0</v>
      </c>
      <c r="K26" s="5">
        <v>0</v>
      </c>
      <c r="L26" s="36">
        <v>0</v>
      </c>
      <c r="M26" s="5">
        <v>0</v>
      </c>
      <c r="N26" s="36">
        <v>0</v>
      </c>
      <c r="O26" s="5">
        <v>0</v>
      </c>
      <c r="P26" s="36">
        <v>0</v>
      </c>
      <c r="Q26" s="5">
        <v>0</v>
      </c>
      <c r="R26" s="36">
        <v>0</v>
      </c>
      <c r="S26" s="5">
        <v>0</v>
      </c>
      <c r="T26" s="36">
        <v>0</v>
      </c>
      <c r="U26" s="5">
        <v>0</v>
      </c>
      <c r="V26" s="36">
        <v>0</v>
      </c>
      <c r="W26" s="5">
        <v>0</v>
      </c>
      <c r="X26" s="36">
        <v>0</v>
      </c>
      <c r="Y26" s="5">
        <v>0</v>
      </c>
      <c r="Z26" s="36">
        <v>0</v>
      </c>
      <c r="AA26" s="43">
        <v>708</v>
      </c>
      <c r="AB26" s="72">
        <v>1.992482038815689E-4</v>
      </c>
      <c r="AC26" s="7">
        <f>SUM(E26+G26+I26+K26+M26+O26+Q26+S26+U26+W26+Y26+AA26)</f>
        <v>708</v>
      </c>
      <c r="AD26" s="7">
        <v>1965</v>
      </c>
      <c r="AE26" s="64">
        <v>6.6228602937112152E-4</v>
      </c>
      <c r="AF26" s="7">
        <v>19</v>
      </c>
      <c r="AG26" s="64">
        <v>7.6609906789936038E-6</v>
      </c>
      <c r="AH26" s="7">
        <v>0</v>
      </c>
      <c r="AI26" s="64">
        <v>0</v>
      </c>
      <c r="AJ26" s="5">
        <f>SUM(AD26,AF26)</f>
        <v>1984</v>
      </c>
      <c r="AK26" s="40">
        <f>SUM(AJ26,AC26)</f>
        <v>2692</v>
      </c>
      <c r="AL26" s="50" t="s">
        <v>265</v>
      </c>
      <c r="AM26" s="41" t="s">
        <v>237</v>
      </c>
      <c r="AN26" s="46" t="s">
        <v>226</v>
      </c>
      <c r="AO26" s="46" t="s">
        <v>169</v>
      </c>
      <c r="AP26" s="45" t="s">
        <v>183</v>
      </c>
      <c r="AQ26" s="51">
        <v>46091</v>
      </c>
      <c r="AR26" s="51">
        <v>46091</v>
      </c>
      <c r="AS26" s="71" t="str">
        <f>"W"&amp;WEEKNUM(AR26,2)</f>
        <v>W11</v>
      </c>
    </row>
    <row r="27" spans="1:45" ht="33">
      <c r="A27" s="75" t="s">
        <v>258</v>
      </c>
      <c r="B27" s="95"/>
      <c r="C27" s="75" t="s">
        <v>259</v>
      </c>
      <c r="D27" s="75" t="s">
        <v>255</v>
      </c>
      <c r="E27" s="7"/>
      <c r="F27" s="72"/>
      <c r="G27" s="7"/>
      <c r="H27" s="72"/>
      <c r="I27" s="7"/>
      <c r="J27" s="72"/>
      <c r="K27" s="7"/>
      <c r="L27" s="72"/>
      <c r="M27" s="7"/>
      <c r="N27" s="72"/>
      <c r="O27" s="7"/>
      <c r="P27" s="72"/>
      <c r="Q27" s="7"/>
      <c r="R27" s="8"/>
      <c r="S27" s="7"/>
      <c r="T27" s="72"/>
      <c r="U27" s="7"/>
      <c r="V27" s="72"/>
      <c r="W27" s="7"/>
      <c r="X27" s="72"/>
      <c r="Y27" s="7"/>
      <c r="Z27" s="72"/>
      <c r="AA27" s="43"/>
      <c r="AB27" s="72"/>
      <c r="AC27" s="7"/>
      <c r="AD27" s="7"/>
      <c r="AE27" s="64"/>
      <c r="AF27" s="7"/>
      <c r="AG27" s="64"/>
      <c r="AH27" s="7"/>
      <c r="AI27" s="64"/>
      <c r="AJ27" s="5"/>
      <c r="AK27" s="40">
        <v>1900</v>
      </c>
      <c r="AL27" s="50" t="s">
        <v>287</v>
      </c>
      <c r="AM27" s="46" t="s">
        <v>256</v>
      </c>
      <c r="AN27" s="46" t="s">
        <v>257</v>
      </c>
      <c r="AO27" s="46"/>
      <c r="AP27" s="45" t="s">
        <v>183</v>
      </c>
      <c r="AQ27" s="51"/>
      <c r="AR27" s="51"/>
      <c r="AS27" s="71"/>
    </row>
    <row r="28" spans="1:45" ht="33">
      <c r="A28" s="75" t="s">
        <v>251</v>
      </c>
      <c r="B28" s="95"/>
      <c r="C28" s="75" t="s">
        <v>252</v>
      </c>
      <c r="D28" s="75" t="s">
        <v>248</v>
      </c>
      <c r="E28" s="7"/>
      <c r="F28" s="72"/>
      <c r="G28" s="7"/>
      <c r="H28" s="72"/>
      <c r="I28" s="7"/>
      <c r="J28" s="72"/>
      <c r="K28" s="7"/>
      <c r="L28" s="72"/>
      <c r="M28" s="7"/>
      <c r="N28" s="72"/>
      <c r="O28" s="7"/>
      <c r="P28" s="72"/>
      <c r="Q28" s="7"/>
      <c r="R28" s="8"/>
      <c r="S28" s="7"/>
      <c r="T28" s="72"/>
      <c r="U28" s="7"/>
      <c r="V28" s="72"/>
      <c r="W28" s="7"/>
      <c r="X28" s="72"/>
      <c r="Y28" s="7"/>
      <c r="Z28" s="72"/>
      <c r="AA28" s="43"/>
      <c r="AB28" s="72"/>
      <c r="AC28" s="7"/>
      <c r="AD28" s="7"/>
      <c r="AE28" s="64"/>
      <c r="AF28" s="7"/>
      <c r="AG28" s="64"/>
      <c r="AH28" s="7"/>
      <c r="AI28" s="64"/>
      <c r="AJ28" s="5"/>
      <c r="AK28" s="40">
        <v>900</v>
      </c>
      <c r="AL28" s="50" t="s">
        <v>288</v>
      </c>
      <c r="AM28" s="46" t="s">
        <v>249</v>
      </c>
      <c r="AN28" s="46" t="s">
        <v>250</v>
      </c>
      <c r="AO28" s="46"/>
      <c r="AP28" s="45" t="s">
        <v>183</v>
      </c>
      <c r="AQ28" s="51"/>
      <c r="AR28" s="51"/>
      <c r="AS28" s="71"/>
    </row>
    <row r="30" spans="1:45" ht="13.5" customHeight="1">
      <c r="AM30" s="11"/>
      <c r="AN30" s="11"/>
      <c r="AO30" s="11"/>
      <c r="AP30" s="11"/>
      <c r="AQ30" s="11"/>
      <c r="AR30" s="12"/>
    </row>
    <row r="31" spans="1:45">
      <c r="AL31" s="10"/>
      <c r="AM31" s="11"/>
      <c r="AN31" s="11"/>
      <c r="AO31" s="11"/>
      <c r="AP31" s="11"/>
      <c r="AQ31" s="11"/>
      <c r="AR31" s="12"/>
    </row>
    <row r="32" spans="1:45" ht="13.5" customHeight="1">
      <c r="AM32" s="11"/>
      <c r="AN32" s="11"/>
      <c r="AO32" s="11"/>
      <c r="AP32" s="11"/>
      <c r="AQ32" s="11"/>
      <c r="AR32" s="12"/>
    </row>
    <row r="33" spans="7:44" ht="13.5" customHeight="1">
      <c r="AL33" s="10"/>
      <c r="AM33" s="11"/>
      <c r="AN33" s="11"/>
      <c r="AO33" s="11"/>
      <c r="AP33" s="11"/>
      <c r="AQ33" s="11"/>
      <c r="AR33" s="12"/>
    </row>
    <row r="34" spans="7:44" ht="13.5" customHeight="1">
      <c r="AL34" s="10"/>
      <c r="AM34" s="11"/>
      <c r="AN34" s="11"/>
      <c r="AO34" s="11"/>
      <c r="AP34" s="11"/>
      <c r="AQ34" s="11"/>
      <c r="AR34" s="12"/>
    </row>
    <row r="35" spans="7:44" ht="13.5" customHeight="1">
      <c r="AL35" s="10"/>
      <c r="AM35" s="11"/>
      <c r="AN35" s="11"/>
      <c r="AO35" s="11"/>
      <c r="AP35" s="11"/>
      <c r="AQ35" s="11"/>
      <c r="AR35" s="12"/>
    </row>
    <row r="36" spans="7:44" ht="13.5" customHeight="1">
      <c r="AL36" s="10"/>
      <c r="AM36" s="11"/>
      <c r="AN36" s="11"/>
      <c r="AO36" s="11"/>
      <c r="AP36" s="11"/>
      <c r="AQ36" s="11"/>
      <c r="AR36" s="12"/>
    </row>
    <row r="37" spans="7:44">
      <c r="AM37" s="11"/>
      <c r="AN37" s="11"/>
      <c r="AO37" s="11"/>
      <c r="AP37" s="11"/>
      <c r="AQ37" s="11"/>
      <c r="AR37" s="12"/>
    </row>
    <row r="38" spans="7:44" ht="3" customHeight="1">
      <c r="AL38" s="10"/>
      <c r="AM38" s="11"/>
      <c r="AN38" s="11"/>
      <c r="AO38" s="11"/>
      <c r="AP38" s="11"/>
      <c r="AQ38" s="11"/>
      <c r="AR38" s="12"/>
    </row>
    <row r="39" spans="7:44">
      <c r="AL39" s="10"/>
      <c r="AM39" s="11"/>
      <c r="AN39" s="11"/>
      <c r="AO39" s="11"/>
      <c r="AP39" s="11"/>
      <c r="AQ39" s="11"/>
      <c r="AR39" s="12"/>
    </row>
    <row r="40" spans="7:44">
      <c r="G40" s="10" t="s">
        <v>75</v>
      </c>
      <c r="AL40" s="10"/>
      <c r="AM40" s="11"/>
      <c r="AN40" s="11"/>
      <c r="AO40" s="11"/>
      <c r="AP40" s="11"/>
      <c r="AQ40" s="11"/>
      <c r="AR40" s="12"/>
    </row>
    <row r="41" spans="7:44">
      <c r="AL41" s="10"/>
      <c r="AM41" s="11"/>
      <c r="AN41" s="11"/>
      <c r="AO41" s="11"/>
      <c r="AP41" s="11"/>
      <c r="AQ41" s="11"/>
      <c r="AR41" s="12"/>
    </row>
    <row r="42" spans="7:44">
      <c r="AL42" s="10"/>
      <c r="AM42" s="11"/>
      <c r="AN42" s="11"/>
      <c r="AO42" s="11"/>
      <c r="AP42" s="11"/>
      <c r="AQ42" s="11"/>
      <c r="AR42" s="12"/>
    </row>
    <row r="43" spans="7:44">
      <c r="AL43" s="10"/>
      <c r="AM43" s="11"/>
      <c r="AN43" s="11"/>
      <c r="AO43" s="11"/>
      <c r="AP43" s="11"/>
      <c r="AQ43" s="11"/>
      <c r="AR43" s="12"/>
    </row>
    <row r="44" spans="7:44">
      <c r="AL44" s="10"/>
      <c r="AM44" s="11"/>
      <c r="AN44" s="11"/>
      <c r="AO44" s="11"/>
      <c r="AP44" s="11"/>
      <c r="AQ44" s="11"/>
      <c r="AR44" s="12"/>
    </row>
    <row r="45" spans="7:44">
      <c r="AL45" s="10"/>
      <c r="AM45" s="11"/>
      <c r="AN45" s="11"/>
      <c r="AO45" s="11"/>
      <c r="AP45" s="11"/>
      <c r="AQ45" s="11"/>
      <c r="AR45" s="12"/>
    </row>
    <row r="46" spans="7:44">
      <c r="AL46" s="10"/>
      <c r="AM46" s="11"/>
      <c r="AN46" s="11"/>
      <c r="AO46" s="11"/>
      <c r="AP46" s="11"/>
      <c r="AQ46" s="11"/>
      <c r="AR46" s="12"/>
    </row>
    <row r="47" spans="7:44">
      <c r="AL47" s="10"/>
      <c r="AM47" s="11"/>
      <c r="AN47" s="11"/>
      <c r="AO47" s="11"/>
      <c r="AP47" s="11"/>
      <c r="AQ47" s="11"/>
      <c r="AR47" s="12"/>
    </row>
    <row r="48" spans="7:44">
      <c r="AL48" s="10"/>
      <c r="AM48" s="11"/>
      <c r="AN48" s="11"/>
      <c r="AO48" s="11"/>
      <c r="AP48" s="11"/>
      <c r="AQ48" s="11"/>
      <c r="AR48" s="12"/>
    </row>
    <row r="49" spans="38:44">
      <c r="AL49" s="10"/>
      <c r="AM49" s="11"/>
      <c r="AN49" s="11"/>
      <c r="AO49" s="11"/>
      <c r="AP49" s="11"/>
      <c r="AQ49" s="11"/>
      <c r="AR49" s="12"/>
    </row>
  </sheetData>
  <autoFilter ref="A1:AS49">
    <filterColumn colId="4" showButton="0"/>
    <filterColumn colId="6" showButton="0"/>
    <filterColumn colId="8" showButton="0"/>
    <filterColumn colId="10" showButton="0"/>
    <filterColumn colId="12" showButton="0"/>
    <filterColumn colId="14" showButton="0"/>
    <filterColumn colId="16" showButton="0"/>
    <filterColumn colId="18" showButton="0"/>
    <filterColumn colId="20" showButton="0"/>
    <filterColumn colId="22" showButton="0"/>
  </autoFilter>
  <sortState ref="A1:AU22">
    <sortCondition descending="1" ref="AC3:AC31"/>
  </sortState>
  <mergeCells count="34">
    <mergeCell ref="B25:B28"/>
    <mergeCell ref="AA1:AB1"/>
    <mergeCell ref="AA2:AB2"/>
    <mergeCell ref="S1:T1"/>
    <mergeCell ref="Q1:R1"/>
    <mergeCell ref="W1:X1"/>
    <mergeCell ref="W2:X2"/>
    <mergeCell ref="Q2:R2"/>
    <mergeCell ref="S2:T2"/>
    <mergeCell ref="Y1:Z1"/>
    <mergeCell ref="Y2:Z2"/>
    <mergeCell ref="U1:V1"/>
    <mergeCell ref="U2:V2"/>
    <mergeCell ref="M2:N2"/>
    <mergeCell ref="B16:B24"/>
    <mergeCell ref="A2:D2"/>
    <mergeCell ref="AH1:AI1"/>
    <mergeCell ref="AH2:AI2"/>
    <mergeCell ref="AF1:AG1"/>
    <mergeCell ref="AF2:AG2"/>
    <mergeCell ref="AD1:AE1"/>
    <mergeCell ref="AD2:AE2"/>
    <mergeCell ref="B3:B15"/>
    <mergeCell ref="M1:N1"/>
    <mergeCell ref="O1:P1"/>
    <mergeCell ref="E2:F2"/>
    <mergeCell ref="G2:H2"/>
    <mergeCell ref="I2:J2"/>
    <mergeCell ref="O2:P2"/>
    <mergeCell ref="K2:L2"/>
    <mergeCell ref="G1:H1"/>
    <mergeCell ref="I1:J1"/>
    <mergeCell ref="K1:L1"/>
    <mergeCell ref="E1:F1"/>
  </mergeCells>
  <phoneticPr fontId="5" type="noConversion"/>
  <pageMargins left="0.75" right="0.75" top="0.27000001072883606" bottom="0.27000001072883606" header="0" footer="0"/>
  <pageSetup paperSize="9" scale="72" orientation="landscape" r:id="rId1"/>
  <headerFooter>
    <oddHeader>&amp;C&amp;G</oddHeader>
  </headerFooter>
  <legacyDrawingHF r:id="rId2"/>
  <picture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2"/>
  <sheetViews>
    <sheetView topLeftCell="A5" zoomScale="85" zoomScaleNormal="85" workbookViewId="0">
      <selection activeCell="M43" sqref="M43"/>
    </sheetView>
  </sheetViews>
  <sheetFormatPr defaultRowHeight="13.5"/>
  <sheetData>
    <row r="1" spans="1:2">
      <c r="A1" t="s">
        <v>87</v>
      </c>
      <c r="B1" t="s">
        <v>88</v>
      </c>
    </row>
    <row r="2" spans="1:2">
      <c r="A2" s="57" t="s">
        <v>89</v>
      </c>
      <c r="B2" s="57" t="s">
        <v>90</v>
      </c>
    </row>
    <row r="3" spans="1:2">
      <c r="A3" s="57" t="s">
        <v>91</v>
      </c>
      <c r="B3" s="57" t="s">
        <v>90</v>
      </c>
    </row>
    <row r="4" spans="1:2">
      <c r="A4" s="57" t="s">
        <v>92</v>
      </c>
      <c r="B4" s="57" t="s">
        <v>90</v>
      </c>
    </row>
    <row r="5" spans="1:2">
      <c r="A5" s="57" t="s">
        <v>93</v>
      </c>
      <c r="B5" s="57" t="s">
        <v>90</v>
      </c>
    </row>
    <row r="6" spans="1:2">
      <c r="A6" s="57" t="s">
        <v>94</v>
      </c>
      <c r="B6" s="57" t="s">
        <v>90</v>
      </c>
    </row>
    <row r="7" spans="1:2">
      <c r="A7" s="57" t="s">
        <v>95</v>
      </c>
      <c r="B7" s="57" t="s">
        <v>90</v>
      </c>
    </row>
    <row r="8" spans="1:2">
      <c r="A8" s="57" t="s">
        <v>96</v>
      </c>
      <c r="B8" s="57" t="s">
        <v>90</v>
      </c>
    </row>
    <row r="9" spans="1:2">
      <c r="A9" s="57" t="s">
        <v>97</v>
      </c>
      <c r="B9" s="57" t="s">
        <v>90</v>
      </c>
    </row>
    <row r="10" spans="1:2">
      <c r="A10" s="57" t="s">
        <v>98</v>
      </c>
      <c r="B10" s="57" t="s">
        <v>90</v>
      </c>
    </row>
    <row r="11" spans="1:2">
      <c r="A11" s="57" t="s">
        <v>99</v>
      </c>
      <c r="B11" s="57" t="s">
        <v>90</v>
      </c>
    </row>
    <row r="12" spans="1:2">
      <c r="A12" s="57" t="s">
        <v>100</v>
      </c>
      <c r="B12" s="57" t="s">
        <v>90</v>
      </c>
    </row>
    <row r="13" spans="1:2">
      <c r="A13" s="57" t="s">
        <v>101</v>
      </c>
      <c r="B13" s="57" t="s">
        <v>90</v>
      </c>
    </row>
    <row r="14" spans="1:2">
      <c r="A14" s="57" t="s">
        <v>102</v>
      </c>
      <c r="B14" s="57" t="s">
        <v>90</v>
      </c>
    </row>
    <row r="15" spans="1:2">
      <c r="A15" s="57" t="s">
        <v>103</v>
      </c>
      <c r="B15" s="57" t="s">
        <v>90</v>
      </c>
    </row>
    <row r="16" spans="1:2">
      <c r="A16" s="57" t="s">
        <v>104</v>
      </c>
      <c r="B16" s="57" t="s">
        <v>90</v>
      </c>
    </row>
    <row r="17" spans="1:2">
      <c r="A17" s="57" t="s">
        <v>105</v>
      </c>
      <c r="B17" s="57" t="s">
        <v>90</v>
      </c>
    </row>
    <row r="18" spans="1:2">
      <c r="A18" s="57" t="s">
        <v>106</v>
      </c>
      <c r="B18" s="57" t="s">
        <v>90</v>
      </c>
    </row>
    <row r="19" spans="1:2">
      <c r="A19" s="58" t="s">
        <v>107</v>
      </c>
      <c r="B19" s="58" t="s">
        <v>108</v>
      </c>
    </row>
    <row r="20" spans="1:2">
      <c r="A20" s="58" t="s">
        <v>109</v>
      </c>
      <c r="B20" s="58" t="s">
        <v>108</v>
      </c>
    </row>
    <row r="21" spans="1:2">
      <c r="A21" s="58" t="s">
        <v>110</v>
      </c>
      <c r="B21" s="58" t="s">
        <v>108</v>
      </c>
    </row>
    <row r="22" spans="1:2">
      <c r="A22" s="58" t="s">
        <v>111</v>
      </c>
      <c r="B22" s="58" t="s">
        <v>108</v>
      </c>
    </row>
    <row r="23" spans="1:2">
      <c r="A23" s="58" t="s">
        <v>112</v>
      </c>
      <c r="B23" s="58" t="s">
        <v>108</v>
      </c>
    </row>
    <row r="24" spans="1:2">
      <c r="A24" s="58" t="s">
        <v>113</v>
      </c>
      <c r="B24" s="58" t="s">
        <v>108</v>
      </c>
    </row>
    <row r="25" spans="1:2">
      <c r="A25" s="58" t="s">
        <v>114</v>
      </c>
      <c r="B25" s="58" t="s">
        <v>108</v>
      </c>
    </row>
    <row r="26" spans="1:2">
      <c r="A26" s="58" t="s">
        <v>115</v>
      </c>
      <c r="B26" s="58" t="s">
        <v>108</v>
      </c>
    </row>
    <row r="27" spans="1:2">
      <c r="A27" s="58" t="s">
        <v>116</v>
      </c>
      <c r="B27" s="58" t="s">
        <v>108</v>
      </c>
    </row>
    <row r="28" spans="1:2">
      <c r="A28" s="58" t="s">
        <v>117</v>
      </c>
      <c r="B28" s="58" t="s">
        <v>108</v>
      </c>
    </row>
    <row r="29" spans="1:2">
      <c r="A29" s="58" t="s">
        <v>118</v>
      </c>
      <c r="B29" s="58" t="s">
        <v>108</v>
      </c>
    </row>
    <row r="30" spans="1:2">
      <c r="A30" s="58" t="s">
        <v>119</v>
      </c>
      <c r="B30" s="58" t="s">
        <v>108</v>
      </c>
    </row>
    <row r="31" spans="1:2">
      <c r="A31" s="58" t="s">
        <v>120</v>
      </c>
      <c r="B31" s="58" t="s">
        <v>108</v>
      </c>
    </row>
    <row r="32" spans="1:2">
      <c r="A32" s="58" t="s">
        <v>121</v>
      </c>
      <c r="B32" s="58" t="s">
        <v>108</v>
      </c>
    </row>
    <row r="33" spans="1:16">
      <c r="A33" s="58" t="s">
        <v>122</v>
      </c>
      <c r="B33" s="58" t="s">
        <v>108</v>
      </c>
    </row>
    <row r="34" spans="1:16">
      <c r="A34" s="58" t="s">
        <v>123</v>
      </c>
      <c r="B34" s="58" t="s">
        <v>108</v>
      </c>
    </row>
    <row r="35" spans="1:16">
      <c r="A35" s="58" t="s">
        <v>124</v>
      </c>
      <c r="B35" s="58" t="s">
        <v>108</v>
      </c>
    </row>
    <row r="36" spans="1:16">
      <c r="A36" s="58" t="s">
        <v>125</v>
      </c>
      <c r="B36" s="58" t="s">
        <v>108</v>
      </c>
    </row>
    <row r="37" spans="1:16">
      <c r="A37" s="58" t="s">
        <v>126</v>
      </c>
      <c r="B37" s="58" t="s">
        <v>108</v>
      </c>
    </row>
    <row r="38" spans="1:16">
      <c r="A38" s="58" t="s">
        <v>127</v>
      </c>
      <c r="B38" s="58" t="s">
        <v>108</v>
      </c>
    </row>
    <row r="39" spans="1:16">
      <c r="A39" s="58" t="s">
        <v>128</v>
      </c>
      <c r="B39" s="58" t="s">
        <v>108</v>
      </c>
    </row>
    <row r="40" spans="1:16">
      <c r="A40" s="58" t="s">
        <v>129</v>
      </c>
      <c r="B40" s="58" t="s">
        <v>108</v>
      </c>
    </row>
    <row r="41" spans="1:16">
      <c r="A41" s="58" t="s">
        <v>130</v>
      </c>
      <c r="B41" s="58" t="s">
        <v>108</v>
      </c>
    </row>
    <row r="42" spans="1:16">
      <c r="A42" s="58" t="s">
        <v>131</v>
      </c>
      <c r="B42" s="58" t="s">
        <v>108</v>
      </c>
    </row>
    <row r="43" spans="1:16">
      <c r="A43" s="58" t="s">
        <v>132</v>
      </c>
      <c r="B43" s="58" t="s">
        <v>108</v>
      </c>
    </row>
    <row r="44" spans="1:16">
      <c r="A44" s="58" t="s">
        <v>133</v>
      </c>
      <c r="B44" s="58" t="s">
        <v>108</v>
      </c>
    </row>
    <row r="45" spans="1:16">
      <c r="A45" s="58" t="s">
        <v>134</v>
      </c>
      <c r="B45" s="58" t="s">
        <v>108</v>
      </c>
    </row>
    <row r="46" spans="1:16">
      <c r="A46" s="58" t="s">
        <v>135</v>
      </c>
      <c r="B46" s="58" t="s">
        <v>108</v>
      </c>
      <c r="P46" t="s">
        <v>178</v>
      </c>
    </row>
    <row r="47" spans="1:16">
      <c r="A47" s="58" t="s">
        <v>136</v>
      </c>
      <c r="B47" s="58" t="s">
        <v>108</v>
      </c>
    </row>
    <row r="48" spans="1:16">
      <c r="A48" s="58" t="s">
        <v>137</v>
      </c>
      <c r="B48" s="58" t="s">
        <v>108</v>
      </c>
    </row>
    <row r="49" spans="1:2">
      <c r="A49" s="58" t="s">
        <v>138</v>
      </c>
      <c r="B49" s="58" t="s">
        <v>108</v>
      </c>
    </row>
    <row r="50" spans="1:2">
      <c r="A50" s="59" t="s">
        <v>139</v>
      </c>
      <c r="B50" s="59" t="s">
        <v>140</v>
      </c>
    </row>
    <row r="51" spans="1:2">
      <c r="A51" s="59" t="s">
        <v>141</v>
      </c>
      <c r="B51" s="59" t="s">
        <v>140</v>
      </c>
    </row>
    <row r="52" spans="1:2">
      <c r="A52" s="59" t="s">
        <v>142</v>
      </c>
      <c r="B52" s="59" t="s">
        <v>140</v>
      </c>
    </row>
    <row r="53" spans="1:2">
      <c r="A53" s="59" t="s">
        <v>143</v>
      </c>
      <c r="B53" s="59" t="s">
        <v>140</v>
      </c>
    </row>
    <row r="54" spans="1:2">
      <c r="A54" s="59" t="s">
        <v>144</v>
      </c>
      <c r="B54" s="59" t="s">
        <v>140</v>
      </c>
    </row>
    <row r="55" spans="1:2">
      <c r="A55" s="59" t="s">
        <v>145</v>
      </c>
      <c r="B55" s="59" t="s">
        <v>140</v>
      </c>
    </row>
    <row r="56" spans="1:2">
      <c r="A56" s="59" t="s">
        <v>146</v>
      </c>
      <c r="B56" s="59" t="s">
        <v>140</v>
      </c>
    </row>
    <row r="57" spans="1:2">
      <c r="A57" s="59" t="s">
        <v>147</v>
      </c>
      <c r="B57" s="59" t="s">
        <v>140</v>
      </c>
    </row>
    <row r="58" spans="1:2">
      <c r="A58" s="60" t="s">
        <v>148</v>
      </c>
      <c r="B58" s="60" t="s">
        <v>149</v>
      </c>
    </row>
    <row r="59" spans="1:2">
      <c r="A59" s="60" t="s">
        <v>150</v>
      </c>
      <c r="B59" s="60" t="s">
        <v>149</v>
      </c>
    </row>
    <row r="60" spans="1:2">
      <c r="A60" s="60" t="s">
        <v>151</v>
      </c>
      <c r="B60" s="60" t="s">
        <v>149</v>
      </c>
    </row>
    <row r="61" spans="1:2">
      <c r="A61" s="60" t="s">
        <v>152</v>
      </c>
      <c r="B61" s="60" t="s">
        <v>149</v>
      </c>
    </row>
    <row r="62" spans="1:2">
      <c r="A62" s="61" t="s">
        <v>153</v>
      </c>
      <c r="B62" s="61" t="s">
        <v>154</v>
      </c>
    </row>
  </sheetData>
  <phoneticPr fontId="5" type="noConversion"/>
  <pageMargins left="0.7" right="0.7" top="0.75" bottom="0.75" header="0.3" footer="0.3"/>
  <pageSetup paperSize="9" orientation="portrait" r:id="rId1"/>
  <headerFooter>
    <oddHeader>&amp;C&amp;G</oddHeader>
  </headerFooter>
  <legacyDrawingHF r:id="rId2"/>
  <picture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K20"/>
  <sheetViews>
    <sheetView workbookViewId="0">
      <selection activeCell="F39" sqref="F39"/>
    </sheetView>
  </sheetViews>
  <sheetFormatPr defaultColWidth="9" defaultRowHeight="13.5"/>
  <cols>
    <col min="1" max="2" width="9" style="1"/>
    <col min="3" max="3" width="18.625" style="1" bestFit="1" customWidth="1"/>
    <col min="4" max="4" width="11.75" style="1" customWidth="1"/>
    <col min="5" max="5" width="19.375" style="1" bestFit="1" customWidth="1"/>
    <col min="6" max="6" width="66.75" style="1" customWidth="1"/>
    <col min="7" max="7" width="16.75" style="1" customWidth="1"/>
    <col min="8" max="8" width="10.375" style="1" customWidth="1"/>
    <col min="9" max="10" width="25" style="15" bestFit="1" customWidth="1"/>
    <col min="11" max="16384" width="9" style="1"/>
  </cols>
  <sheetData>
    <row r="1" spans="1:11" ht="16.5">
      <c r="A1" s="22" t="s">
        <v>67</v>
      </c>
      <c r="B1" s="21" t="s">
        <v>66</v>
      </c>
      <c r="C1" s="21" t="s">
        <v>65</v>
      </c>
      <c r="D1" s="21" t="s">
        <v>64</v>
      </c>
      <c r="E1" s="21" t="s">
        <v>63</v>
      </c>
      <c r="F1" s="21" t="s">
        <v>62</v>
      </c>
      <c r="G1" s="21" t="s">
        <v>61</v>
      </c>
      <c r="H1" s="21" t="s">
        <v>60</v>
      </c>
      <c r="I1" s="20" t="s">
        <v>59</v>
      </c>
      <c r="J1" s="19" t="s">
        <v>58</v>
      </c>
      <c r="K1" s="1">
        <v>4947212</v>
      </c>
    </row>
    <row r="2" spans="1:11" ht="16.5">
      <c r="A2" s="32" t="s">
        <v>10</v>
      </c>
      <c r="B2" s="32" t="s">
        <v>5</v>
      </c>
      <c r="C2" s="32" t="s">
        <v>57</v>
      </c>
      <c r="D2" s="28">
        <v>32144</v>
      </c>
      <c r="E2" s="23">
        <f t="shared" ref="E2:E15" si="0">D2/$K$1</f>
        <v>6.4973969176982914E-3</v>
      </c>
      <c r="F2" s="3" t="s">
        <v>56</v>
      </c>
      <c r="G2" s="35" t="s">
        <v>44</v>
      </c>
      <c r="H2" s="2" t="s">
        <v>55</v>
      </c>
      <c r="I2" s="24">
        <v>0</v>
      </c>
      <c r="J2" s="25">
        <v>6.4973969176982914E-3</v>
      </c>
    </row>
    <row r="3" spans="1:11" ht="16.5">
      <c r="A3" s="32" t="s">
        <v>15</v>
      </c>
      <c r="B3" s="32" t="s">
        <v>5</v>
      </c>
      <c r="C3" s="32" t="s">
        <v>51</v>
      </c>
      <c r="D3" s="28">
        <f>27740*88%</f>
        <v>24411.200000000001</v>
      </c>
      <c r="E3" s="23">
        <f t="shared" si="0"/>
        <v>4.9343347323704745E-3</v>
      </c>
      <c r="F3" s="4" t="s">
        <v>50</v>
      </c>
      <c r="G3" s="18" t="s">
        <v>22</v>
      </c>
      <c r="H3" s="2" t="s">
        <v>49</v>
      </c>
      <c r="I3" s="24">
        <v>0</v>
      </c>
      <c r="J3" s="24">
        <v>0</v>
      </c>
    </row>
    <row r="4" spans="1:11" ht="16.5">
      <c r="A4" s="32" t="s">
        <v>10</v>
      </c>
      <c r="B4" s="32" t="s">
        <v>5</v>
      </c>
      <c r="C4" s="32" t="s">
        <v>51</v>
      </c>
      <c r="D4" s="28">
        <f>15580*88%</f>
        <v>13710.4</v>
      </c>
      <c r="E4" s="23">
        <f t="shared" si="0"/>
        <v>2.771338685303965E-3</v>
      </c>
      <c r="F4" s="4" t="s">
        <v>50</v>
      </c>
      <c r="G4" s="18" t="s">
        <v>22</v>
      </c>
      <c r="H4" s="2" t="s">
        <v>49</v>
      </c>
      <c r="I4" s="24">
        <v>0</v>
      </c>
      <c r="J4" s="24">
        <v>0</v>
      </c>
    </row>
    <row r="5" spans="1:11" ht="16.5">
      <c r="A5" s="32" t="s">
        <v>9</v>
      </c>
      <c r="B5" s="32" t="s">
        <v>14</v>
      </c>
      <c r="C5" s="32" t="s">
        <v>54</v>
      </c>
      <c r="D5" s="28">
        <f>9500*90.9%</f>
        <v>8635.5</v>
      </c>
      <c r="E5" s="23">
        <f t="shared" si="0"/>
        <v>1.7455285926699724E-3</v>
      </c>
      <c r="F5" s="3" t="s">
        <v>33</v>
      </c>
      <c r="G5" s="18" t="s">
        <v>22</v>
      </c>
      <c r="H5" s="2" t="s">
        <v>53</v>
      </c>
      <c r="I5" s="24">
        <v>0</v>
      </c>
      <c r="J5" s="25">
        <v>1.7455285926699724E-3</v>
      </c>
    </row>
    <row r="6" spans="1:11" ht="16.5">
      <c r="A6" s="31" t="s">
        <v>12</v>
      </c>
      <c r="B6" s="31" t="s">
        <v>14</v>
      </c>
      <c r="C6" s="31" t="s">
        <v>54</v>
      </c>
      <c r="D6" s="28">
        <f>9500*90.9%</f>
        <v>8635.5</v>
      </c>
      <c r="E6" s="23">
        <f t="shared" si="0"/>
        <v>1.7455285926699724E-3</v>
      </c>
      <c r="F6" s="3" t="s">
        <v>39</v>
      </c>
      <c r="G6" s="18" t="s">
        <v>22</v>
      </c>
      <c r="H6" s="2" t="s">
        <v>53</v>
      </c>
      <c r="I6" s="24">
        <v>0</v>
      </c>
      <c r="J6" s="25">
        <v>1.7455285926699724E-3</v>
      </c>
    </row>
    <row r="7" spans="1:11" ht="16.5">
      <c r="A7" s="30" t="s">
        <v>52</v>
      </c>
      <c r="B7" s="31" t="s">
        <v>5</v>
      </c>
      <c r="C7" s="31" t="s">
        <v>51</v>
      </c>
      <c r="D7" s="28">
        <f>6270*90.9%</f>
        <v>5699.43</v>
      </c>
      <c r="E7" s="23">
        <f t="shared" si="0"/>
        <v>1.1520488711621818E-3</v>
      </c>
      <c r="F7" s="4" t="s">
        <v>50</v>
      </c>
      <c r="G7" s="18" t="s">
        <v>22</v>
      </c>
      <c r="H7" s="2" t="s">
        <v>49</v>
      </c>
      <c r="I7" s="24">
        <v>0</v>
      </c>
      <c r="J7" s="24">
        <v>0</v>
      </c>
    </row>
    <row r="8" spans="1:11" ht="16.5">
      <c r="A8" s="29" t="s">
        <v>48</v>
      </c>
      <c r="B8" s="30" t="s">
        <v>47</v>
      </c>
      <c r="C8" s="30" t="s">
        <v>46</v>
      </c>
      <c r="D8" s="28">
        <f>6418*88%</f>
        <v>5647.84</v>
      </c>
      <c r="E8" s="23">
        <f t="shared" si="0"/>
        <v>1.1416207754994126E-3</v>
      </c>
      <c r="F8" s="4" t="s">
        <v>45</v>
      </c>
      <c r="G8" s="35" t="s">
        <v>44</v>
      </c>
      <c r="H8" s="2" t="s">
        <v>43</v>
      </c>
      <c r="I8" s="25">
        <v>5.0000000000000001E-4</v>
      </c>
      <c r="J8" s="25">
        <v>5.0000000000000001E-4</v>
      </c>
    </row>
    <row r="9" spans="1:11" ht="16.5">
      <c r="A9" s="31" t="s">
        <v>10</v>
      </c>
      <c r="B9" s="31" t="s">
        <v>14</v>
      </c>
      <c r="C9" s="31" t="s">
        <v>42</v>
      </c>
      <c r="D9" s="28">
        <f>3800*90.9%</f>
        <v>3454.2000000000003</v>
      </c>
      <c r="E9" s="23">
        <f t="shared" si="0"/>
        <v>6.9821143706798902E-4</v>
      </c>
      <c r="F9" s="3" t="s">
        <v>33</v>
      </c>
      <c r="G9" s="18" t="s">
        <v>22</v>
      </c>
      <c r="H9" s="2" t="s">
        <v>41</v>
      </c>
      <c r="I9" s="24">
        <v>0</v>
      </c>
      <c r="J9" s="25">
        <v>6.9821143706798902E-4</v>
      </c>
    </row>
    <row r="10" spans="1:11" ht="16.5">
      <c r="A10" s="31" t="s">
        <v>9</v>
      </c>
      <c r="B10" s="31" t="s">
        <v>6</v>
      </c>
      <c r="C10" s="31" t="s">
        <v>40</v>
      </c>
      <c r="D10" s="28">
        <f>3800*90.9%</f>
        <v>3454.2000000000003</v>
      </c>
      <c r="E10" s="23">
        <f t="shared" si="0"/>
        <v>6.9821143706798902E-4</v>
      </c>
      <c r="F10" s="3" t="s">
        <v>39</v>
      </c>
      <c r="G10" s="18" t="s">
        <v>22</v>
      </c>
      <c r="H10" s="2" t="s">
        <v>31</v>
      </c>
      <c r="I10" s="24">
        <v>0</v>
      </c>
      <c r="J10" s="25">
        <v>6.9821143706798902E-4</v>
      </c>
    </row>
    <row r="11" spans="1:11" ht="16.5">
      <c r="A11" s="31" t="s">
        <v>12</v>
      </c>
      <c r="B11" s="31" t="s">
        <v>6</v>
      </c>
      <c r="C11" s="31" t="s">
        <v>34</v>
      </c>
      <c r="D11" s="28">
        <f>3800*90.9%</f>
        <v>3454.2000000000003</v>
      </c>
      <c r="E11" s="23">
        <f t="shared" si="0"/>
        <v>6.9821143706798902E-4</v>
      </c>
      <c r="F11" s="3" t="s">
        <v>33</v>
      </c>
      <c r="G11" s="18" t="s">
        <v>22</v>
      </c>
      <c r="H11" s="2" t="s">
        <v>31</v>
      </c>
      <c r="I11" s="24">
        <v>0</v>
      </c>
      <c r="J11" s="25">
        <v>6.9821143706798902E-4</v>
      </c>
    </row>
    <row r="12" spans="1:11" ht="16.5">
      <c r="A12" s="30" t="s">
        <v>38</v>
      </c>
      <c r="B12" s="30" t="s">
        <v>25</v>
      </c>
      <c r="C12" s="30" t="s">
        <v>37</v>
      </c>
      <c r="D12" s="28">
        <f>16*200*90.8%</f>
        <v>2905.6</v>
      </c>
      <c r="E12" s="23">
        <f t="shared" si="0"/>
        <v>5.8732069699054743E-4</v>
      </c>
      <c r="F12" s="3" t="s">
        <v>36</v>
      </c>
      <c r="G12" s="18" t="s">
        <v>22</v>
      </c>
      <c r="H12" s="2" t="s">
        <v>35</v>
      </c>
      <c r="I12" s="24">
        <v>0</v>
      </c>
      <c r="J12" s="24">
        <v>0</v>
      </c>
    </row>
    <row r="13" spans="1:11" ht="16.5">
      <c r="A13" s="31" t="s">
        <v>10</v>
      </c>
      <c r="B13" s="31" t="s">
        <v>6</v>
      </c>
      <c r="C13" s="31" t="s">
        <v>34</v>
      </c>
      <c r="D13" s="28">
        <f>1900*90.9%</f>
        <v>1727.1000000000001</v>
      </c>
      <c r="E13" s="23">
        <f t="shared" si="0"/>
        <v>3.4910571853399451E-4</v>
      </c>
      <c r="F13" s="3" t="s">
        <v>33</v>
      </c>
      <c r="G13" s="18" t="s">
        <v>32</v>
      </c>
      <c r="H13" s="2" t="s">
        <v>31</v>
      </c>
      <c r="I13" s="24">
        <v>0</v>
      </c>
      <c r="J13" s="25">
        <v>3.4910571853399451E-4</v>
      </c>
    </row>
    <row r="14" spans="1:11" ht="16.5">
      <c r="A14" s="29" t="s">
        <v>30</v>
      </c>
      <c r="B14" s="29" t="s">
        <v>25</v>
      </c>
      <c r="C14" s="30" t="s">
        <v>29</v>
      </c>
      <c r="D14" s="28">
        <f>1653*68%</f>
        <v>1124.0400000000002</v>
      </c>
      <c r="E14" s="23">
        <f t="shared" si="0"/>
        <v>2.2720675806898921E-4</v>
      </c>
      <c r="F14" s="3" t="s">
        <v>28</v>
      </c>
      <c r="G14" s="18" t="s">
        <v>22</v>
      </c>
      <c r="H14" s="2" t="s">
        <v>27</v>
      </c>
      <c r="I14" s="24">
        <v>0</v>
      </c>
      <c r="J14" s="24">
        <v>0</v>
      </c>
    </row>
    <row r="15" spans="1:11" ht="18.75" customHeight="1">
      <c r="A15" s="34" t="s">
        <v>26</v>
      </c>
      <c r="B15" s="34" t="s">
        <v>25</v>
      </c>
      <c r="C15" s="30" t="s">
        <v>24</v>
      </c>
      <c r="D15" s="28">
        <f>724*92.6%</f>
        <v>670.42399999999998</v>
      </c>
      <c r="E15" s="23">
        <f t="shared" si="0"/>
        <v>1.3551551863958932E-4</v>
      </c>
      <c r="F15" s="3" t="s">
        <v>23</v>
      </c>
      <c r="G15" s="18" t="s">
        <v>22</v>
      </c>
      <c r="H15" s="2" t="s">
        <v>21</v>
      </c>
      <c r="I15" s="24">
        <v>0</v>
      </c>
      <c r="J15" s="24">
        <v>0</v>
      </c>
    </row>
    <row r="16" spans="1:11" ht="16.5">
      <c r="A16" s="29"/>
      <c r="B16" s="29"/>
      <c r="C16" s="29"/>
      <c r="D16" s="28"/>
      <c r="E16" s="23"/>
      <c r="F16" s="26"/>
      <c r="G16" s="18"/>
      <c r="H16" s="2"/>
      <c r="I16" s="24"/>
      <c r="J16" s="24"/>
    </row>
    <row r="17" spans="1:10" ht="16.5">
      <c r="A17" s="29"/>
      <c r="B17" s="29"/>
      <c r="C17" s="29"/>
      <c r="D17" s="14"/>
      <c r="E17" s="23"/>
      <c r="F17" s="9"/>
      <c r="G17" s="18"/>
      <c r="H17" s="2"/>
      <c r="I17" s="24"/>
      <c r="J17" s="24"/>
    </row>
    <row r="18" spans="1:10" ht="16.5">
      <c r="A18" s="101" t="s">
        <v>20</v>
      </c>
      <c r="B18" s="102"/>
      <c r="C18" s="102"/>
      <c r="D18" s="102"/>
      <c r="E18" s="102"/>
      <c r="F18" s="102"/>
      <c r="G18" s="102"/>
      <c r="H18" s="103"/>
      <c r="I18" s="17">
        <f>SUM(I2:I17)</f>
        <v>5.0000000000000001E-4</v>
      </c>
      <c r="J18" s="17">
        <f>SUM(J2:J17)</f>
        <v>1.2932194132776196E-2</v>
      </c>
    </row>
    <row r="19" spans="1:10" ht="16.5">
      <c r="A19" s="101" t="s">
        <v>19</v>
      </c>
      <c r="B19" s="102"/>
      <c r="C19" s="102"/>
      <c r="D19" s="102"/>
      <c r="E19" s="102"/>
      <c r="F19" s="102"/>
      <c r="G19" s="102"/>
      <c r="H19" s="103"/>
      <c r="I19" s="33">
        <v>0.86870000000000003</v>
      </c>
      <c r="J19" s="17">
        <v>0.86870000000000003</v>
      </c>
    </row>
    <row r="20" spans="1:10" ht="16.5">
      <c r="A20" s="101" t="s">
        <v>18</v>
      </c>
      <c r="B20" s="102"/>
      <c r="C20" s="102"/>
      <c r="D20" s="102"/>
      <c r="E20" s="102"/>
      <c r="F20" s="102"/>
      <c r="G20" s="102"/>
      <c r="H20" s="103"/>
      <c r="I20" s="16">
        <f>I18+I19</f>
        <v>0.86919999999999997</v>
      </c>
      <c r="J20" s="16">
        <f>J18+J19</f>
        <v>0.88163219413277627</v>
      </c>
    </row>
  </sheetData>
  <autoFilter ref="A1:K15"/>
  <mergeCells count="3">
    <mergeCell ref="A18:H18"/>
    <mergeCell ref="A19:H19"/>
    <mergeCell ref="A20:H20"/>
  </mergeCells>
  <phoneticPr fontId="5" type="noConversion"/>
  <conditionalFormatting sqref="E1:E104857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2:E13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2:E17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2:E17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r:id="rId1"/>
  <headerFooter>
    <oddHeader>&amp;C&amp;G</oddHeader>
  </headerFooter>
  <legacyDrawingHF r:id="rId2"/>
  <picture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风险品释放管控表</vt:lpstr>
      <vt:lpstr>产品类型</vt:lpstr>
      <vt:lpstr>风险品释放管控表-M06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王永超</dc:creator>
  <cp:lastModifiedBy>张宇</cp:lastModifiedBy>
  <cp:lastPrinted>2025-11-11T10:17:23Z</cp:lastPrinted>
  <dcterms:created xsi:type="dcterms:W3CDTF">2025-01-19T03:06:28Z</dcterms:created>
  <dcterms:modified xsi:type="dcterms:W3CDTF">2026-03-16T10:45:21Z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SEDS_TWMT">
    <vt:lpwstr>e415fab7_0fd563e3_f0e3b6f4281ec57fc6d5075d75ac286e78d575c9cb3687b935853cec4fbc7633</vt:lpwstr>
  </property>
  <property fmtid="{D5CDD505-2E9C-101B-9397-08002B2CF9AE}" pid="3" name="DTSOBJ">
    <vt:lpwstr>ZDc0ZGRlYmR8NjliMjY2YmFlNWVhNDA4MzI0NWQwODY0fDY5ODNlZWY4NGZmYWQ1MjJhODc5MDMzYnw2OWIyNTg4NjQ5NDdkMmVkMmMyNzQ3NWN8NzYyNDIzfDV8MTR8YjY5OTY4MmY=</vt:lpwstr>
  </property>
</Properties>
</file>